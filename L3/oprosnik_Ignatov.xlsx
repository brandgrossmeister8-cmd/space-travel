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48070E85-3EE0-4C57-863F-8A2DCF751E6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externalReferences>
    <externalReference r:id="rId3"/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6" i="2" l="1"/>
  <c r="B25" i="2"/>
</calcChain>
</file>

<file path=xl/sharedStrings.xml><?xml version="1.0" encoding="utf-8"?>
<sst xmlns="http://schemas.openxmlformats.org/spreadsheetml/2006/main" count="348" uniqueCount="198">
  <si>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</si>
  <si>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</si>
  <si>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</si>
  <si>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</si>
  <si>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</si>
  <si>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</si>
  <si>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</si>
  <si>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</si>
  <si>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</si>
  <si>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</si>
  <si>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</si>
  <si>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</si>
  <si>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</si>
  <si>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</si>
  <si>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</si>
  <si>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</si>
  <si>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</si>
  <si>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</si>
  <si>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</si>
  <si>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</si>
  <si>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</si>
  <si>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</si>
  <si>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</si>
  <si>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</si>
  <si>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</si>
  <si>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</si>
  <si>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</si>
  <si>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</si>
  <si>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</si>
  <si>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</si>
  <si>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</si>
  <si>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</si>
  <si>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</si>
  <si>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</si>
  <si>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</si>
  <si>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</si>
  <si>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</si>
  <si>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</si>
  <si>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</si>
  <si>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</si>
  <si>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</si>
  <si>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</si>
  <si>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</si>
  <si>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</si>
  <si>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</si>
  <si>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</si>
  <si>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</si>
  <si>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</si>
  <si>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</si>
  <si>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</si>
  <si>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</si>
  <si>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</si>
  <si>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</si>
  <si>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</si>
  <si>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</si>
  <si>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</si>
  <si>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</si>
  <si>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</si>
  <si>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</si>
  <si>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</si>
  <si>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</si>
  <si>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</si>
  <si>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</si>
  <si>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</si>
  <si>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</si>
  <si>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</si>
  <si>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</si>
  <si>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</si>
  <si>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</si>
  <si>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</si>
  <si>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</si>
  <si>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</si>
  <si>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</si>
  <si>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</si>
  <si>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</si>
  <si>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</si>
  <si>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</si>
  <si>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</si>
  <si>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</si>
  <si>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</si>
  <si>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</si>
  <si>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</si>
  <si>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</si>
  <si>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</si>
  <si>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</si>
  <si>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</si>
  <si>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</si>
  <si>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</si>
  <si>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</si>
  <si>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</si>
  <si>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</si>
  <si>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</si>
  <si>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</si>
  <si>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</si>
  <si>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</si>
  <si>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</si>
  <si>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</si>
  <si>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</si>
  <si>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</si>
  <si>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</si>
  <si>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</si>
  <si>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</si>
  <si>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</si>
  <si>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</si>
  <si>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</si>
  <si>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</si>
  <si>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</si>
  <si>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</si>
  <si>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</si>
  <si>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</si>
  <si>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</si>
  <si>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</si>
  <si>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</si>
  <si>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</si>
  <si>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</si>
  <si>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</si>
  <si>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</si>
  <si>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</si>
  <si>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</si>
  <si>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</si>
  <si>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</si>
  <si>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</si>
  <si>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</si>
  <si>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</si>
  <si>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</si>
  <si>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</si>
  <si>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</si>
  <si>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</si>
  <si>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</si>
  <si>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</si>
  <si>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</si>
  <si>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</si>
  <si>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</si>
  <si>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</si>
  <si>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</si>
  <si>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</si>
  <si>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Игнатов</t>
  </si>
  <si>
    <t>Зам руководитель транспортного отдела</t>
  </si>
  <si>
    <t>Сокращение времени выполнения Автоматизировать автоматическое бронирование; снизить количество технических ошибок из-за которых не забронировалось автоматически</t>
  </si>
  <si>
    <t>Бронирую билеты на блочные рейсы</t>
  </si>
  <si>
    <t>GDS</t>
  </si>
  <si>
    <t xml:space="preserve">Другое присылают копии паспортов и необходимо вручную вносить данные </t>
  </si>
  <si>
    <t>прислали заявку на бронирование</t>
  </si>
  <si>
    <t>ЛК а/к и партнеров</t>
  </si>
  <si>
    <t>отправляю новые МК</t>
  </si>
  <si>
    <t>подтвердили согласие на изменение времени вылета</t>
  </si>
  <si>
    <t>корректирую данные паспорта в билете</t>
  </si>
  <si>
    <t>присылают запрос на коррекцию паспорта</t>
  </si>
  <si>
    <t>завожу заявку в само</t>
  </si>
  <si>
    <t>отправляю изменения по рейсам</t>
  </si>
  <si>
    <t>проверяю очереди в Амадеусе</t>
  </si>
  <si>
    <t>Другое не обновляется тайм лимит от а/к в заявках само</t>
  </si>
  <si>
    <t xml:space="preserve">отправляю тайм лимит от авиакомпании </t>
  </si>
  <si>
    <t>амадеус</t>
  </si>
  <si>
    <t>Снижение качества пропустить тайм лимит или изменения по рейсам</t>
  </si>
  <si>
    <t>вношу авиабилеты в таблицу</t>
  </si>
  <si>
    <t>лк а/к и партнеров</t>
  </si>
  <si>
    <t>Пропускаете+не грузятся автоматом</t>
  </si>
  <si>
    <t>подтверждают выписку билетов</t>
  </si>
  <si>
    <t>актуализирую стоимость перелета</t>
  </si>
  <si>
    <t>не подтвержают вовремя выписку, бронь аннулируется</t>
  </si>
  <si>
    <t>не работает актуализация в системе, приходится проверять вручную</t>
  </si>
  <si>
    <t>согласовываем стоимость и необходимость бронирования</t>
  </si>
  <si>
    <t>Бронирование и выписка ругулярных билетов</t>
  </si>
  <si>
    <t>внесение данных</t>
  </si>
  <si>
    <t>амадеус, почта</t>
  </si>
  <si>
    <t>сайты а/к</t>
  </si>
  <si>
    <t xml:space="preserve">амадеус, лк а/к </t>
  </si>
  <si>
    <t>подбираю варианты перелета для Агентов/ Вип клинетов</t>
  </si>
  <si>
    <t>загружаю билеты в заявку в САМО</t>
  </si>
  <si>
    <t>амадеус,  почта</t>
  </si>
  <si>
    <t>само, гугл таблицы</t>
  </si>
  <si>
    <t>амадеус, почта, телеграм</t>
  </si>
  <si>
    <t>бронирую доп услуги, багаж, места в самолете, Вип Залы</t>
  </si>
  <si>
    <t>Выгружаю списки пассажиров и загружаю вличные кабинеты авиакомпании</t>
  </si>
  <si>
    <t>присылают запрос на подбор рейсов по месенджерам</t>
  </si>
  <si>
    <t>Отдел продаж/прямые агенты</t>
  </si>
  <si>
    <t>Расчет и оформление обменов/возвратов</t>
  </si>
  <si>
    <t>Другое/избежание ошибок</t>
  </si>
  <si>
    <t>Получаем запросы на обмен/возврат. Длеаем расчет и дальнейшее оформление</t>
  </si>
  <si>
    <t>почта, Само, собственные файлы</t>
  </si>
  <si>
    <t>системы бронированыя/сайты поставщиков</t>
  </si>
  <si>
    <t>Снижение количества ошибок/снижение стресса</t>
  </si>
  <si>
    <t>Другое/избежание ошибок в стрессовых ситуациях</t>
  </si>
  <si>
    <t>Рассылка об изменениях в бронированиях</t>
  </si>
  <si>
    <t>Другое/трата времени</t>
  </si>
  <si>
    <t>Отправка уведомлений и переоформление новых билетов с учетом изменений времени вылетов</t>
  </si>
  <si>
    <t>почта, Само</t>
  </si>
  <si>
    <t>системы бронированыя</t>
  </si>
  <si>
    <t>Снижение количества ошибок/своевременное уведомление об изменениях</t>
  </si>
  <si>
    <t>Другое/При несвоевременном уведомлении риск возникновении проблем у пассажиров</t>
  </si>
  <si>
    <t>Выходные</t>
  </si>
  <si>
    <t>Нет отделов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</si>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</sst>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3" fillId="6" borderId="7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5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7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8" fillId="0" borderId="0" xfId="0" applyFont="1"/>
    <xf numFmtId="0" fontId="4" fillId="7" borderId="5" xfId="0" applyFont="1" applyFill="1" applyBorder="1" applyAlignment="1">
      <alignment vertical="top" wrapText="1"/>
    </xf>
    <xf numFmtId="0" fontId="4" fillId="3" borderId="11" xfId="0" applyFont="1" applyFill="1" applyBorder="1" applyAlignment="1">
      <alignment vertical="top" wrapText="1"/>
    </xf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natov.ye/AppData/Local/Microsoft/Windows/INetCache/Content.Outlook/AYXSOWZC/oprosnik_zapolyanskay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gnatov.ye/AppData/Local/Microsoft/Windows/INetCache/Content.Outlook/AYXSOWZC/oprosnik_sazonova%20(00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1050;&#1086;&#1087;&#1080;&#1103;%20oprosnik_BAIBA%20NATAL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  <sheetName val="ШАБЛОН"/>
    </sheetNames>
    <sheetDataSet>
      <sheetData sheetId="0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Справочники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1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3" t="s">
        <v>113</v>
      </c>
      <c r="B2" s="23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3" t="s">
        <v>115</v>
      </c>
      <c r="B3" s="23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3" t="s">
        <v>117</v>
      </c>
      <c r="B4" s="23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3" t="s">
        <v>193</v>
      </c>
      <c r="B5" s="23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3" t="s">
        <v>119</v>
      </c>
      <c r="B6" s="23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3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3" t="s">
        <v>56</v>
      </c>
      <c r="B8" s="23" t="s">
        <v>54</v>
      </c>
      <c r="J8" s="2" t="s">
        <v>47</v>
      </c>
    </row>
    <row r="9" spans="1:11" x14ac:dyDescent="0.25">
      <c r="A9" s="23" t="s">
        <v>194</v>
      </c>
      <c r="B9" s="23" t="s">
        <v>55</v>
      </c>
    </row>
    <row r="10" spans="1:11" x14ac:dyDescent="0.25">
      <c r="A10" s="23" t="s">
        <v>59</v>
      </c>
      <c r="B10" s="23" t="s">
        <v>121</v>
      </c>
    </row>
    <row r="11" spans="1:11" x14ac:dyDescent="0.25">
      <c r="A11" s="23" t="s">
        <v>73</v>
      </c>
      <c r="B11" s="23" t="s">
        <v>57</v>
      </c>
    </row>
    <row r="12" spans="1:11" x14ac:dyDescent="0.25">
      <c r="A12" s="23" t="s">
        <v>122</v>
      </c>
      <c r="B12" s="23" t="s">
        <v>58</v>
      </c>
    </row>
    <row r="13" spans="1:11" x14ac:dyDescent="0.25">
      <c r="B13" s="23" t="s">
        <v>60</v>
      </c>
    </row>
    <row r="14" spans="1:11" x14ac:dyDescent="0.25">
      <c r="A14" s="24"/>
      <c r="B14" s="23" t="s">
        <v>123</v>
      </c>
    </row>
    <row r="15" spans="1:11" x14ac:dyDescent="0.25">
      <c r="A15" s="24"/>
      <c r="B15" s="23" t="s">
        <v>124</v>
      </c>
    </row>
    <row r="16" spans="1:11" x14ac:dyDescent="0.25">
      <c r="A16" s="25"/>
      <c r="B16" s="23" t="s">
        <v>125</v>
      </c>
    </row>
    <row r="17" spans="1:2" x14ac:dyDescent="0.25">
      <c r="A17" s="25"/>
      <c r="B17" s="23" t="s">
        <v>126</v>
      </c>
    </row>
    <row r="18" spans="1:2" x14ac:dyDescent="0.25">
      <c r="A18" s="25"/>
      <c r="B18" s="23" t="s">
        <v>61</v>
      </c>
    </row>
    <row r="19" spans="1:2" x14ac:dyDescent="0.25">
      <c r="A19" s="25"/>
      <c r="B19" s="23" t="s">
        <v>62</v>
      </c>
    </row>
    <row r="20" spans="1:2" x14ac:dyDescent="0.25">
      <c r="A20" s="25"/>
      <c r="B20" s="23" t="s">
        <v>63</v>
      </c>
    </row>
    <row r="21" spans="1:2" ht="15.75" customHeight="1" x14ac:dyDescent="0.25">
      <c r="A21" s="25"/>
      <c r="B21" s="23" t="s">
        <v>64</v>
      </c>
    </row>
    <row r="22" spans="1:2" ht="15.75" customHeight="1" x14ac:dyDescent="0.25">
      <c r="A22" s="25"/>
      <c r="B22" s="23" t="s">
        <v>65</v>
      </c>
    </row>
    <row r="23" spans="1:2" ht="15.75" customHeight="1" x14ac:dyDescent="0.25">
      <c r="A23" s="25"/>
      <c r="B23" s="23" t="s">
        <v>66</v>
      </c>
    </row>
    <row r="24" spans="1:2" ht="15.75" customHeight="1" x14ac:dyDescent="0.25">
      <c r="A24" s="25"/>
      <c r="B24" s="23" t="s">
        <v>67</v>
      </c>
    </row>
    <row r="25" spans="1:2" ht="15.75" customHeight="1" x14ac:dyDescent="0.25">
      <c r="A25" s="25"/>
      <c r="B25" s="23" t="s">
        <v>68</v>
      </c>
    </row>
    <row r="26" spans="1:2" ht="15.75" customHeight="1" x14ac:dyDescent="0.25">
      <c r="A26" s="25"/>
      <c r="B26" s="23" t="s">
        <v>69</v>
      </c>
    </row>
    <row r="27" spans="1:2" ht="15.75" customHeight="1" x14ac:dyDescent="0.25">
      <c r="A27" s="25"/>
      <c r="B27" s="23" t="s">
        <v>70</v>
      </c>
    </row>
    <row r="28" spans="1:2" ht="15.75" customHeight="1" x14ac:dyDescent="0.25">
      <c r="A28" s="25"/>
      <c r="B28" s="23" t="s">
        <v>127</v>
      </c>
    </row>
    <row r="29" spans="1:2" ht="15.75" customHeight="1" x14ac:dyDescent="0.25">
      <c r="A29" s="25"/>
      <c r="B29" s="23" t="s">
        <v>71</v>
      </c>
    </row>
    <row r="30" spans="1:2" ht="15.75" customHeight="1" x14ac:dyDescent="0.25">
      <c r="A30" s="25"/>
      <c r="B30" s="23" t="s">
        <v>128</v>
      </c>
    </row>
    <row r="31" spans="1:2" ht="15.75" customHeight="1" x14ac:dyDescent="0.25">
      <c r="A31" s="25"/>
      <c r="B31" s="23" t="s">
        <v>129</v>
      </c>
    </row>
    <row r="32" spans="1:2" ht="15.75" customHeight="1" x14ac:dyDescent="0.25">
      <c r="A32" s="25"/>
      <c r="B32" s="23" t="s">
        <v>72</v>
      </c>
    </row>
    <row r="33" spans="1:2" ht="15.75" customHeight="1" x14ac:dyDescent="0.25">
      <c r="A33" s="25"/>
      <c r="B33" s="23" t="s">
        <v>195</v>
      </c>
    </row>
    <row r="34" spans="1:2" ht="15.75" customHeight="1" x14ac:dyDescent="0.25">
      <c r="A34" s="24"/>
      <c r="B34" s="23" t="s">
        <v>130</v>
      </c>
    </row>
    <row r="35" spans="1:2" ht="15.75" customHeight="1" x14ac:dyDescent="0.25">
      <c r="B35" s="23" t="s">
        <v>131</v>
      </c>
    </row>
    <row r="36" spans="1:2" ht="15.75" customHeight="1" x14ac:dyDescent="0.25">
      <c r="B36" s="23" t="s">
        <v>132</v>
      </c>
    </row>
    <row r="37" spans="1:2" ht="15.75" customHeight="1" x14ac:dyDescent="0.25">
      <c r="B37" s="29" t="s">
        <v>133</v>
      </c>
    </row>
    <row r="38" spans="1:2" ht="15.75" customHeight="1" x14ac:dyDescent="0.25">
      <c r="B38" s="26" t="s">
        <v>134</v>
      </c>
    </row>
    <row r="39" spans="1:2" ht="15.75" customHeight="1" x14ac:dyDescent="0.25">
      <c r="B39" s="23" t="s">
        <v>193</v>
      </c>
    </row>
    <row r="40" spans="1:2" ht="15.75" customHeight="1" x14ac:dyDescent="0.25">
      <c r="B40" s="23" t="s">
        <v>56</v>
      </c>
    </row>
    <row r="41" spans="1:2" ht="15.75" customHeight="1" x14ac:dyDescent="0.25">
      <c r="B41" s="29" t="s">
        <v>135</v>
      </c>
    </row>
    <row r="42" spans="1:2" ht="15.75" customHeight="1" x14ac:dyDescent="0.25">
      <c r="B42" t="s">
        <v>196</v>
      </c>
    </row>
    <row r="43" spans="1:2" ht="15.75" customHeight="1" x14ac:dyDescent="0.25">
      <c r="B43" t="s">
        <v>197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tabSelected="1" zoomScaleNormal="100" workbookViewId="0">
      <selection activeCell="J11" activeCellId="10" sqref="C11:E11 C14:E22 L11 N11 P11 R11 L14:L22 R14:R22 P14:P22 N14:N22 G11:J11 G14:J22 V11:X11 V14:X22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21.28515625" customWidth="1"/>
    <col min="8" max="9" width="15" customWidth="1"/>
    <col min="10" max="10" width="20" customWidth="1"/>
    <col min="11" max="11" width="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4" width="20" customWidth="1"/>
    <col min="25" max="26" width="8.7109375" customWidth="1"/>
  </cols>
  <sheetData>
    <row r="1" spans="1:26" ht="30" customHeight="1" x14ac:dyDescent="0.25">
      <c r="A1" s="32" t="s">
        <v>74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4"/>
    </row>
    <row r="3" spans="1:26" x14ac:dyDescent="0.25">
      <c r="B3" s="3" t="s">
        <v>75</v>
      </c>
      <c r="C3" s="35" t="s">
        <v>136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4"/>
    </row>
    <row r="4" spans="1:26" x14ac:dyDescent="0.25">
      <c r="B4" s="3" t="s">
        <v>76</v>
      </c>
      <c r="C4" s="36" t="s">
        <v>119</v>
      </c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4"/>
    </row>
    <row r="5" spans="1:26" x14ac:dyDescent="0.25">
      <c r="B5" s="3" t="s">
        <v>77</v>
      </c>
      <c r="C5" s="36" t="s">
        <v>71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4"/>
    </row>
    <row r="6" spans="1:26" x14ac:dyDescent="0.25">
      <c r="B6" s="3" t="s">
        <v>78</v>
      </c>
      <c r="C6" s="35" t="s">
        <v>137</v>
      </c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4"/>
    </row>
    <row r="8" spans="1:26" ht="15.75" x14ac:dyDescent="0.25">
      <c r="A8" s="37" t="s">
        <v>79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2" customFormat="1" ht="48.6" customHeight="1" x14ac:dyDescent="0.25">
      <c r="A10" s="17" t="s">
        <v>112</v>
      </c>
      <c r="B10" s="15" t="s">
        <v>107</v>
      </c>
      <c r="C10" s="16" t="s">
        <v>108</v>
      </c>
      <c r="D10" s="16" t="s">
        <v>108</v>
      </c>
      <c r="E10" s="16" t="s">
        <v>108</v>
      </c>
      <c r="F10" s="15" t="s">
        <v>110</v>
      </c>
      <c r="G10" s="18"/>
      <c r="H10" s="19"/>
      <c r="I10" s="19"/>
      <c r="J10" s="16" t="s">
        <v>108</v>
      </c>
      <c r="K10" s="20" t="s">
        <v>109</v>
      </c>
      <c r="L10" s="16" t="s">
        <v>108</v>
      </c>
      <c r="M10" s="20" t="s">
        <v>109</v>
      </c>
      <c r="N10" s="16" t="s">
        <v>108</v>
      </c>
      <c r="O10" s="20" t="s">
        <v>109</v>
      </c>
      <c r="P10" s="16" t="s">
        <v>108</v>
      </c>
      <c r="Q10" s="20" t="s">
        <v>109</v>
      </c>
      <c r="R10" s="16" t="s">
        <v>108</v>
      </c>
      <c r="S10" s="20" t="s">
        <v>109</v>
      </c>
      <c r="T10" s="19"/>
      <c r="U10" s="19"/>
      <c r="V10" s="19" t="s">
        <v>111</v>
      </c>
      <c r="W10" s="19"/>
      <c r="X10" s="19"/>
      <c r="Y10" s="21"/>
      <c r="Z10" s="21"/>
    </row>
    <row r="11" spans="1:26" ht="39" customHeight="1" x14ac:dyDescent="0.25">
      <c r="A11" s="27">
        <v>1</v>
      </c>
      <c r="B11" s="13" t="s">
        <v>163</v>
      </c>
      <c r="C11" s="14" t="s">
        <v>11</v>
      </c>
      <c r="D11" s="14" t="s">
        <v>29</v>
      </c>
      <c r="E11" s="14" t="s">
        <v>13</v>
      </c>
      <c r="F11" s="13">
        <v>60</v>
      </c>
      <c r="G11" s="7" t="s">
        <v>164</v>
      </c>
      <c r="H11" s="7" t="s">
        <v>141</v>
      </c>
      <c r="I11" s="7" t="s">
        <v>34</v>
      </c>
      <c r="J11" s="8" t="s">
        <v>118</v>
      </c>
      <c r="K11" s="7" t="s">
        <v>142</v>
      </c>
      <c r="L11" s="8"/>
      <c r="M11" s="7"/>
      <c r="N11" s="8"/>
      <c r="O11" s="7"/>
      <c r="P11" s="8"/>
      <c r="Q11" s="7"/>
      <c r="R11" s="8"/>
      <c r="S11" s="7"/>
      <c r="T11" s="7" t="s">
        <v>167</v>
      </c>
      <c r="U11" s="7" t="s">
        <v>166</v>
      </c>
      <c r="V11" s="8" t="s">
        <v>31</v>
      </c>
      <c r="W11" s="7" t="s">
        <v>27</v>
      </c>
      <c r="X11" s="7" t="s">
        <v>19</v>
      </c>
      <c r="Y11" s="28"/>
    </row>
    <row r="12" spans="1:26" ht="39.75" customHeight="1" x14ac:dyDescent="0.25">
      <c r="A12" s="6">
        <v>2</v>
      </c>
      <c r="B12" s="7" t="s">
        <v>184</v>
      </c>
      <c r="C12" s="8" t="s">
        <v>11</v>
      </c>
      <c r="D12" s="8" t="s">
        <v>21</v>
      </c>
      <c r="E12" s="8" t="s">
        <v>191</v>
      </c>
      <c r="F12" s="7">
        <v>60</v>
      </c>
      <c r="G12" s="7" t="s">
        <v>15</v>
      </c>
      <c r="H12" s="7" t="s">
        <v>47</v>
      </c>
      <c r="I12" s="7" t="s">
        <v>185</v>
      </c>
      <c r="J12" s="8" t="s">
        <v>52</v>
      </c>
      <c r="K12" s="7" t="s">
        <v>186</v>
      </c>
      <c r="L12" s="8" t="s">
        <v>118</v>
      </c>
      <c r="M12" s="7" t="s">
        <v>186</v>
      </c>
      <c r="N12" s="8" t="s">
        <v>116</v>
      </c>
      <c r="O12" s="7" t="s">
        <v>186</v>
      </c>
      <c r="P12" s="8" t="s">
        <v>62</v>
      </c>
      <c r="Q12" s="7" t="s">
        <v>186</v>
      </c>
      <c r="R12" s="8"/>
      <c r="S12" s="7"/>
      <c r="T12" s="7" t="s">
        <v>187</v>
      </c>
      <c r="U12" s="7" t="s">
        <v>188</v>
      </c>
      <c r="V12" s="8" t="s">
        <v>31</v>
      </c>
      <c r="W12" s="7" t="s">
        <v>189</v>
      </c>
      <c r="X12" s="7" t="s">
        <v>190</v>
      </c>
    </row>
    <row r="13" spans="1:26" ht="39.75" customHeight="1" x14ac:dyDescent="0.25">
      <c r="A13" s="6">
        <v>3</v>
      </c>
      <c r="B13" s="7" t="s">
        <v>177</v>
      </c>
      <c r="C13" s="8" t="s">
        <v>11</v>
      </c>
      <c r="D13" s="8" t="s">
        <v>21</v>
      </c>
      <c r="E13" s="8" t="s">
        <v>46</v>
      </c>
      <c r="F13" s="7">
        <v>120</v>
      </c>
      <c r="G13" s="7" t="s">
        <v>15</v>
      </c>
      <c r="H13" s="7" t="s">
        <v>178</v>
      </c>
      <c r="I13" s="7" t="s">
        <v>34</v>
      </c>
      <c r="J13" s="8" t="s">
        <v>52</v>
      </c>
      <c r="K13" s="7" t="s">
        <v>179</v>
      </c>
      <c r="L13" s="8" t="s">
        <v>118</v>
      </c>
      <c r="M13" s="7" t="s">
        <v>179</v>
      </c>
      <c r="N13" s="8" t="s">
        <v>116</v>
      </c>
      <c r="O13" s="7" t="s">
        <v>179</v>
      </c>
      <c r="P13" s="8" t="s">
        <v>62</v>
      </c>
      <c r="Q13" s="7" t="s">
        <v>179</v>
      </c>
      <c r="R13" s="8"/>
      <c r="S13" s="7"/>
      <c r="T13" s="7" t="s">
        <v>180</v>
      </c>
      <c r="U13" s="7" t="s">
        <v>181</v>
      </c>
      <c r="V13" s="8" t="s">
        <v>31</v>
      </c>
      <c r="W13" s="7" t="s">
        <v>182</v>
      </c>
      <c r="X13" s="7" t="s">
        <v>183</v>
      </c>
    </row>
    <row r="14" spans="1:26" ht="39.75" customHeight="1" x14ac:dyDescent="0.25">
      <c r="A14" s="6">
        <v>4</v>
      </c>
      <c r="B14" s="7" t="s">
        <v>144</v>
      </c>
      <c r="C14" s="8" t="s">
        <v>11</v>
      </c>
      <c r="D14" s="14" t="s">
        <v>29</v>
      </c>
      <c r="E14" s="8" t="s">
        <v>13</v>
      </c>
      <c r="F14" s="7">
        <v>30</v>
      </c>
      <c r="G14" s="7" t="s">
        <v>24</v>
      </c>
      <c r="H14" s="7"/>
      <c r="I14" s="7"/>
      <c r="J14" s="8" t="s">
        <v>118</v>
      </c>
      <c r="K14" s="7" t="s">
        <v>145</v>
      </c>
      <c r="L14" s="8"/>
      <c r="M14" s="7"/>
      <c r="N14" s="8"/>
      <c r="O14" s="7"/>
      <c r="P14" s="8"/>
      <c r="Q14" s="7"/>
      <c r="R14" s="8"/>
      <c r="S14" s="7"/>
      <c r="T14" s="7" t="s">
        <v>170</v>
      </c>
      <c r="U14" s="7" t="s">
        <v>143</v>
      </c>
      <c r="V14" s="8" t="s">
        <v>23</v>
      </c>
      <c r="W14" s="7" t="s">
        <v>18</v>
      </c>
      <c r="X14" s="7" t="s">
        <v>44</v>
      </c>
    </row>
    <row r="15" spans="1:26" ht="39.75" customHeight="1" x14ac:dyDescent="0.25">
      <c r="A15" s="6">
        <v>5</v>
      </c>
      <c r="B15" s="7" t="s">
        <v>146</v>
      </c>
      <c r="C15" s="8" t="s">
        <v>11</v>
      </c>
      <c r="D15" s="14" t="s">
        <v>29</v>
      </c>
      <c r="E15" s="8" t="s">
        <v>13</v>
      </c>
      <c r="F15" s="7">
        <v>30</v>
      </c>
      <c r="G15" s="7" t="s">
        <v>32</v>
      </c>
      <c r="H15" s="7" t="s">
        <v>41</v>
      </c>
      <c r="I15" s="7" t="s">
        <v>42</v>
      </c>
      <c r="J15" s="8" t="s">
        <v>118</v>
      </c>
      <c r="K15" s="7" t="s">
        <v>147</v>
      </c>
      <c r="L15" s="8"/>
      <c r="M15" s="7"/>
      <c r="N15" s="8"/>
      <c r="O15" s="7"/>
      <c r="P15" s="8"/>
      <c r="Q15" s="7"/>
      <c r="R15" s="8"/>
      <c r="S15" s="7"/>
      <c r="T15" s="7" t="s">
        <v>170</v>
      </c>
      <c r="U15" s="7" t="s">
        <v>143</v>
      </c>
      <c r="V15" s="8" t="s">
        <v>23</v>
      </c>
      <c r="W15" s="7" t="s">
        <v>18</v>
      </c>
      <c r="X15" s="7" t="s">
        <v>19</v>
      </c>
    </row>
    <row r="16" spans="1:26" ht="39.75" customHeight="1" x14ac:dyDescent="0.25">
      <c r="A16" s="6">
        <v>6</v>
      </c>
      <c r="B16" s="7" t="s">
        <v>148</v>
      </c>
      <c r="C16" s="8" t="s">
        <v>11</v>
      </c>
      <c r="D16" s="8" t="s">
        <v>12</v>
      </c>
      <c r="E16" s="8" t="s">
        <v>13</v>
      </c>
      <c r="F16" s="7">
        <v>15</v>
      </c>
      <c r="G16" s="7" t="s">
        <v>15</v>
      </c>
      <c r="H16" s="7" t="s">
        <v>25</v>
      </c>
      <c r="I16" s="7" t="s">
        <v>49</v>
      </c>
      <c r="J16" s="8"/>
      <c r="K16" s="7"/>
      <c r="L16" s="8"/>
      <c r="M16" s="7"/>
      <c r="N16" s="8"/>
      <c r="O16" s="7"/>
      <c r="P16" s="8"/>
      <c r="Q16" s="7"/>
      <c r="R16" s="8"/>
      <c r="S16" s="7"/>
      <c r="T16" s="7" t="s">
        <v>171</v>
      </c>
      <c r="U16" s="7"/>
      <c r="V16" s="8" t="s">
        <v>31</v>
      </c>
      <c r="W16" s="7" t="s">
        <v>18</v>
      </c>
      <c r="X16" s="7" t="s">
        <v>51</v>
      </c>
    </row>
    <row r="17" spans="1:24" ht="39.75" customHeight="1" x14ac:dyDescent="0.25">
      <c r="A17" s="6">
        <v>7</v>
      </c>
      <c r="B17" s="7" t="s">
        <v>150</v>
      </c>
      <c r="C17" s="8" t="s">
        <v>11</v>
      </c>
      <c r="D17" s="8" t="s">
        <v>12</v>
      </c>
      <c r="E17" s="8" t="s">
        <v>13</v>
      </c>
      <c r="F17" s="7">
        <v>40</v>
      </c>
      <c r="G17" s="7"/>
      <c r="H17" s="7" t="s">
        <v>151</v>
      </c>
      <c r="I17" s="7" t="s">
        <v>34</v>
      </c>
      <c r="J17" s="8" t="s">
        <v>118</v>
      </c>
      <c r="K17" s="7" t="s">
        <v>149</v>
      </c>
      <c r="L17" s="8" t="s">
        <v>118</v>
      </c>
      <c r="M17" s="7" t="s">
        <v>152</v>
      </c>
      <c r="N17" s="8"/>
      <c r="O17" s="7"/>
      <c r="P17" s="8"/>
      <c r="Q17" s="7"/>
      <c r="R17" s="8"/>
      <c r="S17" s="7"/>
      <c r="T17" s="7" t="s">
        <v>153</v>
      </c>
      <c r="U17" s="7"/>
      <c r="V17" s="8">
        <v>3</v>
      </c>
      <c r="W17" s="7" t="s">
        <v>18</v>
      </c>
      <c r="X17" s="7" t="s">
        <v>154</v>
      </c>
    </row>
    <row r="18" spans="1:24" ht="39.75" customHeight="1" x14ac:dyDescent="0.25">
      <c r="A18" s="6">
        <v>8</v>
      </c>
      <c r="B18" s="7" t="s">
        <v>155</v>
      </c>
      <c r="C18" s="8" t="s">
        <v>11</v>
      </c>
      <c r="D18" s="8" t="s">
        <v>12</v>
      </c>
      <c r="E18" s="8" t="s">
        <v>13</v>
      </c>
      <c r="F18" s="7">
        <v>20</v>
      </c>
      <c r="G18" s="7" t="s">
        <v>15</v>
      </c>
      <c r="H18" s="7" t="s">
        <v>33</v>
      </c>
      <c r="I18" s="7" t="s">
        <v>17</v>
      </c>
      <c r="J18" s="8"/>
      <c r="K18" s="7"/>
      <c r="L18" s="8"/>
      <c r="M18" s="7"/>
      <c r="N18" s="8"/>
      <c r="O18" s="7"/>
      <c r="P18" s="8"/>
      <c r="Q18" s="7"/>
      <c r="R18" s="8"/>
      <c r="S18" s="7"/>
      <c r="T18" s="7" t="s">
        <v>165</v>
      </c>
      <c r="U18" s="7" t="s">
        <v>143</v>
      </c>
      <c r="V18" s="8" t="s">
        <v>23</v>
      </c>
      <c r="W18" s="7" t="s">
        <v>18</v>
      </c>
      <c r="X18" s="7" t="s">
        <v>36</v>
      </c>
    </row>
    <row r="19" spans="1:24" ht="53.25" customHeight="1" x14ac:dyDescent="0.25">
      <c r="A19" s="6">
        <v>9</v>
      </c>
      <c r="B19" s="7" t="s">
        <v>168</v>
      </c>
      <c r="C19" s="8" t="s">
        <v>11</v>
      </c>
      <c r="D19" s="8" t="s">
        <v>12</v>
      </c>
      <c r="E19" s="8" t="s">
        <v>13</v>
      </c>
      <c r="F19" s="7">
        <v>60</v>
      </c>
      <c r="G19" s="7" t="s">
        <v>32</v>
      </c>
      <c r="H19" s="7"/>
      <c r="I19" s="7"/>
      <c r="J19" s="8" t="s">
        <v>176</v>
      </c>
      <c r="K19" s="7" t="s">
        <v>175</v>
      </c>
      <c r="L19" s="8"/>
      <c r="M19" s="7"/>
      <c r="N19" s="8"/>
      <c r="O19" s="7"/>
      <c r="P19" s="8"/>
      <c r="Q19" s="7"/>
      <c r="R19" s="8"/>
      <c r="S19" s="7"/>
      <c r="T19" s="7" t="s">
        <v>165</v>
      </c>
      <c r="U19" s="7" t="s">
        <v>156</v>
      </c>
      <c r="V19" s="8" t="s">
        <v>31</v>
      </c>
      <c r="W19" s="7" t="s">
        <v>43</v>
      </c>
      <c r="X19" s="7" t="s">
        <v>51</v>
      </c>
    </row>
    <row r="20" spans="1:24" ht="39.75" customHeight="1" x14ac:dyDescent="0.25">
      <c r="A20" s="6">
        <v>10</v>
      </c>
      <c r="B20" s="7" t="s">
        <v>169</v>
      </c>
      <c r="C20" s="8" t="s">
        <v>11</v>
      </c>
      <c r="D20" s="8" t="s">
        <v>12</v>
      </c>
      <c r="E20" s="8" t="s">
        <v>13</v>
      </c>
      <c r="F20" s="7">
        <v>15</v>
      </c>
      <c r="G20" s="7" t="s">
        <v>32</v>
      </c>
      <c r="H20" s="7" t="s">
        <v>157</v>
      </c>
      <c r="I20" s="7" t="s">
        <v>49</v>
      </c>
      <c r="J20" s="8" t="s">
        <v>118</v>
      </c>
      <c r="K20" s="7" t="s">
        <v>158</v>
      </c>
      <c r="L20" s="8"/>
      <c r="M20" s="7"/>
      <c r="N20" s="8"/>
      <c r="O20" s="7"/>
      <c r="P20" s="8"/>
      <c r="Q20" s="7"/>
      <c r="R20" s="8"/>
      <c r="S20" s="7"/>
      <c r="T20" s="7" t="s">
        <v>171</v>
      </c>
      <c r="U20" s="7"/>
      <c r="V20" s="8" t="s">
        <v>23</v>
      </c>
      <c r="W20" s="7" t="s">
        <v>35</v>
      </c>
      <c r="X20" s="7" t="s">
        <v>19</v>
      </c>
    </row>
    <row r="21" spans="1:24" ht="45.75" customHeight="1" x14ac:dyDescent="0.25">
      <c r="A21" s="6">
        <v>11</v>
      </c>
      <c r="B21" s="7" t="s">
        <v>159</v>
      </c>
      <c r="C21" s="8" t="s">
        <v>11</v>
      </c>
      <c r="D21" s="8" t="s">
        <v>29</v>
      </c>
      <c r="E21" s="8" t="s">
        <v>13</v>
      </c>
      <c r="F21" s="7">
        <v>60</v>
      </c>
      <c r="G21" s="7" t="s">
        <v>24</v>
      </c>
      <c r="H21" s="7" t="s">
        <v>41</v>
      </c>
      <c r="I21" s="7" t="s">
        <v>42</v>
      </c>
      <c r="J21" s="8" t="s">
        <v>118</v>
      </c>
      <c r="K21" s="7" t="s">
        <v>160</v>
      </c>
      <c r="L21" s="8" t="s">
        <v>118</v>
      </c>
      <c r="M21" s="7" t="s">
        <v>161</v>
      </c>
      <c r="N21" s="8"/>
      <c r="O21" s="7"/>
      <c r="P21" s="8"/>
      <c r="Q21" s="7"/>
      <c r="R21" s="8"/>
      <c r="S21" s="7"/>
      <c r="T21" s="7" t="s">
        <v>172</v>
      </c>
      <c r="U21" s="7" t="s">
        <v>143</v>
      </c>
      <c r="V21" s="8" t="s">
        <v>23</v>
      </c>
      <c r="W21" s="7" t="s">
        <v>27</v>
      </c>
      <c r="X21" s="7" t="s">
        <v>19</v>
      </c>
    </row>
    <row r="22" spans="1:24" ht="54.75" customHeight="1" x14ac:dyDescent="0.25">
      <c r="A22" s="6">
        <v>12</v>
      </c>
      <c r="B22" s="7" t="s">
        <v>173</v>
      </c>
      <c r="C22" s="8" t="s">
        <v>11</v>
      </c>
      <c r="D22" s="8" t="s">
        <v>29</v>
      </c>
      <c r="E22" s="8" t="s">
        <v>13</v>
      </c>
      <c r="F22" s="7">
        <v>30</v>
      </c>
      <c r="G22" s="7" t="s">
        <v>24</v>
      </c>
      <c r="H22" s="7"/>
      <c r="I22" s="7" t="s">
        <v>42</v>
      </c>
      <c r="J22" s="8" t="s">
        <v>118</v>
      </c>
      <c r="K22" s="7"/>
      <c r="L22" s="8"/>
      <c r="M22" s="7"/>
      <c r="N22" s="8" t="s">
        <v>118</v>
      </c>
      <c r="O22" s="7" t="s">
        <v>162</v>
      </c>
      <c r="P22" s="8"/>
      <c r="Q22" s="7"/>
      <c r="R22" s="8"/>
      <c r="S22" s="7"/>
      <c r="T22" s="7" t="s">
        <v>172</v>
      </c>
      <c r="U22" s="7" t="s">
        <v>143</v>
      </c>
      <c r="V22" s="8" t="s">
        <v>31</v>
      </c>
      <c r="W22" s="7" t="s">
        <v>18</v>
      </c>
      <c r="X22" s="7" t="s">
        <v>51</v>
      </c>
    </row>
    <row r="23" spans="1:24" ht="127.5" customHeight="1" x14ac:dyDescent="0.25">
      <c r="A23" s="6">
        <v>13</v>
      </c>
      <c r="B23" s="7" t="s">
        <v>139</v>
      </c>
      <c r="C23" s="14" t="s">
        <v>11</v>
      </c>
      <c r="D23" s="14" t="s">
        <v>38</v>
      </c>
      <c r="E23" s="8" t="s">
        <v>22</v>
      </c>
      <c r="F23" s="13">
        <v>30</v>
      </c>
      <c r="G23" s="7" t="s">
        <v>15</v>
      </c>
      <c r="H23" s="7"/>
      <c r="I23" s="7"/>
      <c r="J23" s="8" t="s">
        <v>52</v>
      </c>
      <c r="K23" s="7" t="s">
        <v>174</v>
      </c>
      <c r="L23" s="8" t="s">
        <v>192</v>
      </c>
      <c r="M23" s="7" t="s">
        <v>174</v>
      </c>
      <c r="N23" s="8" t="s">
        <v>192</v>
      </c>
      <c r="O23" s="7" t="s">
        <v>174</v>
      </c>
      <c r="P23" s="8" t="s">
        <v>192</v>
      </c>
      <c r="Q23" s="7"/>
      <c r="R23" s="8"/>
      <c r="S23" s="7"/>
      <c r="T23" s="7"/>
      <c r="U23" s="7" t="s">
        <v>140</v>
      </c>
      <c r="V23" s="8" t="s">
        <v>31</v>
      </c>
      <c r="W23" s="7" t="s">
        <v>138</v>
      </c>
      <c r="X23" s="7"/>
    </row>
    <row r="24" spans="1:24" ht="15.75" customHeight="1" x14ac:dyDescent="0.25">
      <c r="A24" s="9" t="s">
        <v>103</v>
      </c>
    </row>
    <row r="25" spans="1:24" ht="15.75" customHeight="1" x14ac:dyDescent="0.25">
      <c r="A25" s="10" t="s">
        <v>104</v>
      </c>
      <c r="B25" s="30" t="e">
        <f ca="1">Выпадающий список(ТОЛЬКО из списка)</f>
        <v>#NAME?</v>
      </c>
      <c r="C25" s="31"/>
      <c r="D25" s="31"/>
      <c r="E25" s="31"/>
    </row>
    <row r="26" spans="1:24" ht="15.75" customHeight="1" x14ac:dyDescent="0.25">
      <c r="A26" s="11" t="s">
        <v>105</v>
      </c>
      <c r="B26" s="30" t="e">
        <f>Можно выбрать из списка ИЛИ написать своё</f>
        <v>#NAME?</v>
      </c>
      <c r="C26" s="31"/>
      <c r="D26" s="31"/>
      <c r="E26" s="31"/>
    </row>
    <row r="27" spans="1:24" ht="15.75" customHeight="1" x14ac:dyDescent="0.25"/>
    <row r="28" spans="1:24" ht="15.75" customHeight="1" x14ac:dyDescent="0.25"/>
    <row r="29" spans="1:24" ht="15.75" customHeight="1" x14ac:dyDescent="0.25"/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8">
    <mergeCell ref="B25:E25"/>
    <mergeCell ref="B26:E26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Справочники!$B$2:$B$41</xm:f>
          </x14:formula1>
          <xm:sqref>C5</xm:sqref>
        </x14:dataValidation>
        <x14:dataValidation type="list" allowBlank="1" xr:uid="{56A0A99A-C643-493E-840A-C80318EE4F31}">
          <x14:formula1>
            <xm:f>Справочники!$B$2:$B$43</xm:f>
          </x14:formula1>
          <xm:sqref>C11:E11 C14:E22 L11 N11 P11 R11 L14:L22 R14:R22 P14:P22 N14:N22 G11:J11 G14:J22 V11:X11 V14:X22</xm:sqref>
        </x14:dataValidation>
        <x14:dataValidation type="list" allowBlank="1" xr:uid="{5F50B362-D74B-4777-A7DB-C5C398CDB63C}">
          <x14:formula1>
            <xm:f>'C:\Users\ignatov.ye\AppData\Local\Microsoft\Windows\INetCache\Content.Outlook\AYXSOWZC\[oprosnik_sazonova (002).xlsx]Справочники'!#REF!</xm:f>
          </x14:formula1>
          <xm:sqref>C23:E23 N23 L23 R23 P23 G23:J23 V23:X23</xm:sqref>
        </x14:dataValidation>
        <x14:dataValidation type="list" allowBlank="1" xr:uid="{F0D3042F-B26C-4EBA-8290-CE1142B25CB7}">
          <x14:formula1>
            <xm:f>'[Копия oprosnik_BAIBA NATALIA.xlsx]Справочники'!#REF!</xm:f>
          </x14:formula1>
          <xm:sqref>C12:E13 L12:L13 R12:R13 N12:N13 P12:P13 G12:J13 V12:X13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2026-01-26T07:26:54Z</dcterms:modified>
</cp:coreProperties>
</file>