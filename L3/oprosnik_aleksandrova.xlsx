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ineo\OneDrive\Desktop\Новая папка (3)\"/>
    </mc:Choice>
  </mc:AlternateContent>
  <xr:revisionPtr revIDLastSave="0" documentId="13_ncr:1_{F6DC3E68-934A-40A2-B3E4-FFCF674D94F5}" xr6:coauthVersionLast="47" xr6:coauthVersionMax="47" xr10:uidLastSave="{00000000-0000-0000-0000-000000000000}"/>
  <bookViews>
    <workbookView xWindow="28680" yWindow="-120" windowWidth="29040" windowHeight="15720" activeTab="1" xr2:uid="{00000000-000D-0000-FFFF-FFFF00000000}"/>
  </bookViews>
  <sheets>
    <sheet name="Справочники" sheetId="1" r:id="rId1"/>
    <sheet name="ШАБЛ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L3GsrNzf3Ml5vfv6VC+AHKHkiSu3m0ubyksZ1X6ZxM="/>
    </ext>
  </extLst>
</workbook>
</file>

<file path=xl/calcChain.xml><?xml version="1.0" encoding="utf-8"?>
<calcChain xmlns="http://schemas.openxmlformats.org/spreadsheetml/2006/main">
  <c r="B29" i="2" l="1"/>
  <c r="B28" i="2"/>
</calcChain>
</file>

<file path=xl/sharedStrings.xml><?xml version="1.0" encoding="utf-8"?>
<sst xmlns="http://schemas.openxmlformats.org/spreadsheetml/2006/main" count="316" uniqueCount="178">
  <si>
    <t>ДЕПАРТАМЕНТЫ</t>
  </si>
  <si>
    <t>ОТДЕЛЫ</t>
  </si>
  <si>
    <t>Тип задачи</t>
  </si>
  <si>
    <t>Уровень рутинности</t>
  </si>
  <si>
    <t>Регулярность</t>
  </si>
  <si>
    <t>Приоритет автоматизации</t>
  </si>
  <si>
    <t>Характер задачи (подсказка)</t>
  </si>
  <si>
    <t>Проблема (подсказка)</t>
  </si>
  <si>
    <t>Причина проблемы (подсказка)</t>
  </si>
  <si>
    <t>Ожидаемые результаты (подсказка)</t>
  </si>
  <si>
    <t>Риски (подсказка)</t>
  </si>
  <si>
    <t>Рутинная задача</t>
  </si>
  <si>
    <t>Очень высокий</t>
  </si>
  <si>
    <t>Ежедневно</t>
  </si>
  <si>
    <t>1</t>
  </si>
  <si>
    <t>Ручной ввод данных</t>
  </si>
  <si>
    <t>Не успеваете</t>
  </si>
  <si>
    <t>Нехватка времени</t>
  </si>
  <si>
    <t>Сокращение времени выполнения</t>
  </si>
  <si>
    <t>Снижение качества</t>
  </si>
  <si>
    <t>Проблемная задача</t>
  </si>
  <si>
    <t>Высокий</t>
  </si>
  <si>
    <t>Еженедельно</t>
  </si>
  <si>
    <t>2</t>
  </si>
  <si>
    <t>Обработка текстов</t>
  </si>
  <si>
    <t>Пропускаете</t>
  </si>
  <si>
    <t>Отсутствие информации</t>
  </si>
  <si>
    <t>Снижение количества ошибок</t>
  </si>
  <si>
    <t>Утечка данных</t>
  </si>
  <si>
    <t>Средний</t>
  </si>
  <si>
    <t>Ежемесячно</t>
  </si>
  <si>
    <t>3</t>
  </si>
  <si>
    <t>Обработка изображений</t>
  </si>
  <si>
    <t>Забываете</t>
  </si>
  <si>
    <t>Сложность задачи</t>
  </si>
  <si>
    <t>Освобождение времени для важных задач</t>
  </si>
  <si>
    <t>Сложность настройки</t>
  </si>
  <si>
    <t>Группа визового сопровождения</t>
  </si>
  <si>
    <t>Низкий</t>
  </si>
  <si>
    <t>Ежеквартально</t>
  </si>
  <si>
    <t>Обработка голосовой информации</t>
  </si>
  <si>
    <t>Не дают информацию вовремя</t>
  </si>
  <si>
    <t>Зависимость от других отделов</t>
  </si>
  <si>
    <t>Повышение качества обслуживания клиентов</t>
  </si>
  <si>
    <t>Потеря контроля</t>
  </si>
  <si>
    <t>Отдел бизнес-тревел</t>
  </si>
  <si>
    <t>По запросу</t>
  </si>
  <si>
    <t>Другое</t>
  </si>
  <si>
    <t>Трудно получить информацию</t>
  </si>
  <si>
    <t>Технические проблемы</t>
  </si>
  <si>
    <t>Упрощение коммуникаций</t>
  </si>
  <si>
    <t>Нет рисков</t>
  </si>
  <si>
    <t>Отдел бронирования</t>
  </si>
  <si>
    <t>Снижение стресса</t>
  </si>
  <si>
    <t>Отдел группового бронирования</t>
  </si>
  <si>
    <t>Отдел клиентской поддержки</t>
  </si>
  <si>
    <t>Департамент информационных технологий</t>
  </si>
  <si>
    <t>Отдел контент-маркетинга</t>
  </si>
  <si>
    <t>Отдел маркетинга</t>
  </si>
  <si>
    <t>Администрация</t>
  </si>
  <si>
    <t>Отдел по работе с ключевыми клиентами</t>
  </si>
  <si>
    <t>Отдел рекламы</t>
  </si>
  <si>
    <t>Отдел MICE</t>
  </si>
  <si>
    <t>Офис г. Екатеринбург</t>
  </si>
  <si>
    <t>Офис г. Казань</t>
  </si>
  <si>
    <t>Офис г. Краснодар</t>
  </si>
  <si>
    <t>Офис г. Новосибирск</t>
  </si>
  <si>
    <t>Офис г. Пятигорск</t>
  </si>
  <si>
    <t>Офис г. Самара</t>
  </si>
  <si>
    <t>Офис г. Санкт-Петербург</t>
  </si>
  <si>
    <t>Офис г. Хабаровск</t>
  </si>
  <si>
    <t>Транспортный отдел</t>
  </si>
  <si>
    <t>Чартерная группа</t>
  </si>
  <si>
    <t>Travelluxe (Казахстан)</t>
  </si>
  <si>
    <t>ОПРОСНИК: Анализ задач для автоматизации</t>
  </si>
  <si>
    <t>ФИО:</t>
  </si>
  <si>
    <t>Департамент (список):</t>
  </si>
  <si>
    <t>Отдел (список):</t>
  </si>
  <si>
    <t>Должность (свой текст):</t>
  </si>
  <si>
    <t>ВАШИ ЗАДАЧИ (минимум 5). Голубые = только список, Желтые = свой текст или список</t>
  </si>
  <si>
    <t>№</t>
  </si>
  <si>
    <t>Название
задачи</t>
  </si>
  <si>
    <t>Тип задачи
ТОЛЬКО список</t>
  </si>
  <si>
    <t>Уровень
рутинности
ТОЛЬКО список</t>
  </si>
  <si>
    <t>Регулярность
ТОЛЬКО список</t>
  </si>
  <si>
    <t>Характер
задачи
список+своё</t>
  </si>
  <si>
    <t>Проблема
список+своё</t>
  </si>
  <si>
    <t>Причина
проблемы
список+своё</t>
  </si>
  <si>
    <t>Взаимо-
действие 1
(отдел)</t>
  </si>
  <si>
    <t>Описание
взаимодействия 1</t>
  </si>
  <si>
    <t>Взаимо-
действие 2
(отдел)</t>
  </si>
  <si>
    <t>Описание
взаимодействия 2</t>
  </si>
  <si>
    <t>Взаимо-
действие 3
(отдел)</t>
  </si>
  <si>
    <t>Описание
взаимодействия 3</t>
  </si>
  <si>
    <t>Взаимо-
действие 4
(отдел)</t>
  </si>
  <si>
    <t>Описание
взаимодействия 4</t>
  </si>
  <si>
    <t>Взаимо-
действие 5
(отдел)</t>
  </si>
  <si>
    <t>Описание
взаимодействия 5</t>
  </si>
  <si>
    <t>Внутренние
ресурсы</t>
  </si>
  <si>
    <t>Внешние
ресурсы</t>
  </si>
  <si>
    <t>Приоритет
ТОЛЬКО список</t>
  </si>
  <si>
    <t>Ожидаемые
результаты
список+своё</t>
  </si>
  <si>
    <t>Риски
список+своё</t>
  </si>
  <si>
    <t>ЛЕГЕНДА:</t>
  </si>
  <si>
    <t>🔵 Голубые ячейки</t>
  </si>
  <si>
    <t>🟨 Желтые ячейки</t>
  </si>
  <si>
    <t>Время
(только число!
 только в мин!)</t>
  </si>
  <si>
    <t>глагол + что делаю</t>
  </si>
  <si>
    <t>ТОЛЬКО список</t>
  </si>
  <si>
    <t>Описание логики взаимодействия</t>
  </si>
  <si>
    <r>
      <rPr>
        <b/>
        <sz val="11"/>
        <color rgb="FFFF0000"/>
        <rFont val="Calibri"/>
        <family val="2"/>
        <charset val="204"/>
        <scheme val="minor"/>
      </rPr>
      <t>Только число и только в минутах</t>
    </r>
    <r>
      <rPr>
        <b/>
        <sz val="11"/>
        <color rgb="FF000000"/>
        <rFont val="Calibri"/>
        <family val="2"/>
        <charset val="204"/>
        <scheme val="minor"/>
      </rPr>
      <t xml:space="preserve"> (например: 15, 60, 120 и т.д.)</t>
    </r>
  </si>
  <si>
    <t xml:space="preserve">1-Низкий 
2-Средний 
3-Высокий 
</t>
  </si>
  <si>
    <t>Примеч.</t>
  </si>
  <si>
    <t>Департамент развития взаимоотношений с агентствами</t>
  </si>
  <si>
    <t>Бухгалтерия</t>
  </si>
  <si>
    <t>Департамент по управлению операционными доходами</t>
  </si>
  <si>
    <t>ВИП отдел</t>
  </si>
  <si>
    <t>Департамент въездного туризма, MICE и корпоративного обслуживания</t>
  </si>
  <si>
    <t>Отдел продаж</t>
  </si>
  <si>
    <t xml:space="preserve">Операционный департамент </t>
  </si>
  <si>
    <r>
      <t>Департамент маркетинга и</t>
    </r>
    <r>
      <rPr>
        <sz val="11"/>
        <color rgb="FF000000"/>
        <rFont val="Calibri"/>
        <family val="2"/>
        <charset val="204"/>
      </rPr>
      <t xml:space="preserve"> рекламы</t>
    </r>
  </si>
  <si>
    <t>Отдел круглосуточной работы с клиентами</t>
  </si>
  <si>
    <t>ASM</t>
  </si>
  <si>
    <t>Группа стран «Ближний Восток»</t>
  </si>
  <si>
    <t>Группа стран «Экзотика»</t>
  </si>
  <si>
    <t>Группа стран FIT</t>
  </si>
  <si>
    <t>Группа тарификации</t>
  </si>
  <si>
    <t>Отдел въездного туризма</t>
  </si>
  <si>
    <t>Банковская группа</t>
  </si>
  <si>
    <t>Группа по расчетам с иностранными поставщиками</t>
  </si>
  <si>
    <t>Группа стран «ЮВА»</t>
  </si>
  <si>
    <t>Генеральный директор</t>
  </si>
  <si>
    <t>Первый ЗГД</t>
  </si>
  <si>
    <t>Управление клиентского сервиса</t>
  </si>
  <si>
    <t>Управление по развитию региональных офисов</t>
  </si>
  <si>
    <t>нет отделов</t>
  </si>
  <si>
    <t>Александрова</t>
  </si>
  <si>
    <t>Продуктолог группы стран FIT</t>
  </si>
  <si>
    <t>Проверяю отображение и корректность цен  на агрегаторах по направлениям группы стран FIT самостоятельно</t>
  </si>
  <si>
    <t>онлайн Спейс Тревел</t>
  </si>
  <si>
    <t>Слетать, Тревелата,сайты (B2B) партнеров</t>
  </si>
  <si>
    <t>Сложность настройки, потеря качества, потеря контроля</t>
  </si>
  <si>
    <t>Другое, отнимает много времени</t>
  </si>
  <si>
    <t>Другое, из-за текущих остальных процессов выполнение задачи растягивается на неопределнное время</t>
  </si>
  <si>
    <t>Корректирую с помощью смежных отделов отображение и правильность цен  на агрегаторах по направлениям группы стран FIT</t>
  </si>
  <si>
    <t>При разнице в цене DMC и САМО ставлю задачу на проверку корректности закачки и расчета СПО, по завершении задачи проверяю в онлайне и на агрегаторах цену или передаю задачу в IT. Возможность автоматизации: В Битрикс отдел тарификации автоматически передает проблемную задачу на IT</t>
  </si>
  <si>
    <t>При отсутствии Спейс Тревел на агрегаторах, ставлю задачу на проверку. Возможности автоматизации: продуктологу приходит отбивка на почту об отсутсвии в выдаче цен на агрегаторах и причине отключения. При расхождении цены после коррекции отдела тарификации ставлю задачу на исправление, проверяю результат после завершения задачи.</t>
  </si>
  <si>
    <t>Отправляю статистику по загрузке рейсов для получения СПО</t>
  </si>
  <si>
    <t>формирую отчет по блокам меест  в САМО, корректирую при необходимости, отправляю партнерам. Возможность автоматизации: ежедневная отправка отчета из САМО на почту партнерам</t>
  </si>
  <si>
    <t>Само, почта</t>
  </si>
  <si>
    <t>Мессенджеры</t>
  </si>
  <si>
    <t>Сложность настройки, потеря контроля</t>
  </si>
  <si>
    <t>Мониторю продажи в САМО по направлениям группы стран FIT  с учетом финансовых показателей</t>
  </si>
  <si>
    <t>Ззахожу в САМО, смотрю заявки за день по группе стран FIT, оцениваю количество заявок по каждому направлению, отслеживаю возможные ошибки(минус на не блочном направлении, низкая маржинальность, не корректные услуги, странности (возможные сбои интеграции) Возможная автоматизация: отбивки на почту по критическим заявкам, требующим контроля)</t>
  </si>
  <si>
    <t>нет</t>
  </si>
  <si>
    <t>Ручной ввод данных, обработка информации</t>
  </si>
  <si>
    <t>готовлю акценты продаж для контента</t>
  </si>
  <si>
    <t>обрабатываю звонки/письма по продукту/проблеме</t>
  </si>
  <si>
    <t>Обработка голосовой информации, обработка текстовой информации</t>
  </si>
  <si>
    <t xml:space="preserve">Ежедневная коммуникация. Сложно автоматизировать. Возможно оптимизировать через цепочку сотрудник - руководитель отдела-продуктолог. </t>
  </si>
  <si>
    <t>Ежедневная коммуникация. Сложно автоматизировать. Возможно оптимизировать через цепочку сотрудник - руководитель отдела-продуктолог</t>
  </si>
  <si>
    <t>Ежедневная коммуникация по всем отделам. Сложно автоматизировать. Возможно оптимизировать через цепочку сотрудник - руководитель отдела-продуктолог</t>
  </si>
  <si>
    <t xml:space="preserve">Захожу на сайты СТ, Слетать, Тревелата и B2B системы партнеров, проверяю самостоятельно стоимость, позицию относительно конкурентов, сравниваю наш онлайн, онлайн DMC  и агрегатора, при расхождении цен ставлю задачи в IT и Тарификацию, финальная проверка. Автоматизация: грамотный парсинг </t>
  </si>
  <si>
    <t>Взаимодействую c DMC по текущим вопросам/проблемам</t>
  </si>
  <si>
    <t xml:space="preserve">Считаю, что автоматизировать не возможно, необходима личная вовлеченность. </t>
  </si>
  <si>
    <t>Другое, отнимает много времени, требует концентрации, отвлекает от выполнения основных задач</t>
  </si>
  <si>
    <t>Другое, отнимает время</t>
  </si>
  <si>
    <t>нет проблемы, необходимость</t>
  </si>
  <si>
    <t>почта</t>
  </si>
  <si>
    <t>Телефония, почта, Битрикс, личные присутствия</t>
  </si>
  <si>
    <t>Само</t>
  </si>
  <si>
    <t>Почта, Битрикс</t>
  </si>
  <si>
    <t xml:space="preserve">Ежедневное кропотливое заполнение контент плана,  коммуникации с контент-маркетингом: заполнение контент-планов, детальной информации по акцентам продаж со ссылками, стоимостью, описаниями. Согласование выходящих публикаций. Возможно оптимизировать распределением ролей: контент сам выбирает площадки, частоту в зависимости от темы продукта, а Продукт дает только реальные акценты на ключевой продукт и ссылки. </t>
  </si>
  <si>
    <t>Департамент HR</t>
  </si>
  <si>
    <t>Департамент финансов</t>
  </si>
  <si>
    <t>Группа по привлечению агенств</t>
  </si>
  <si>
    <t>Бухгалтерия группы компаний</t>
  </si>
  <si>
    <t>Финансовый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</si>
</sst>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rgb="FFFFFFFF"/>
      <name val="Calibri"/>
      <family val="2"/>
      <charset val="204"/>
      <scheme val="minor"/>
    </font>
    <font>
      <sz val="11"/>
      <color theme="1"/>
      <name val="Calibri"/>
      <family val="2"/>
      <charset val="204"/>
    </font>
    <font>
      <b/>
      <sz val="14"/>
      <color rgb="FFFFFFFF"/>
      <name val="Calibri"/>
      <family val="2"/>
      <charset val="204"/>
      <scheme val="minor"/>
    </font>
    <font>
      <sz val="11"/>
      <name val="Calibri"/>
      <family val="2"/>
      <charset val="204"/>
    </font>
    <font>
      <sz val="11"/>
      <color theme="1"/>
      <name val="Calibri"/>
      <family val="2"/>
      <charset val="204"/>
      <scheme val="minor"/>
    </font>
    <font>
      <b/>
      <sz val="12"/>
      <color theme="1"/>
      <name val="Calibri"/>
      <family val="2"/>
      <charset val="204"/>
      <scheme val="minor"/>
    </font>
    <font>
      <b/>
      <sz val="14"/>
      <color rgb="FF000000"/>
      <name val="Calibri"/>
      <family val="2"/>
      <charset val="204"/>
      <scheme val="minor"/>
    </font>
    <font>
      <sz val="14"/>
      <color rgb="FF000000"/>
      <name val="Calibri"/>
      <family val="2"/>
      <charset val="204"/>
      <scheme val="minor"/>
    </font>
    <font>
      <b/>
      <sz val="11"/>
      <color theme="1"/>
      <name val="Calibri"/>
      <family val="2"/>
      <charset val="204"/>
      <scheme val="minor"/>
    </font>
    <font>
      <b/>
      <sz val="11"/>
      <color theme="1"/>
      <name val="Calibri"/>
      <family val="2"/>
      <charset val="204"/>
      <scheme val="minor"/>
    </font>
    <font>
      <sz val="11"/>
      <color theme="1"/>
      <name val="Calibri"/>
      <family val="2"/>
      <charset val="204"/>
    </font>
    <font>
      <b/>
      <sz val="11"/>
      <color rgb="FF000000"/>
      <name val="Calibri"/>
      <family val="2"/>
      <charset val="204"/>
      <scheme val="minor"/>
    </font>
    <font>
      <b/>
      <sz val="11"/>
      <color rgb="FFFF0000"/>
      <name val="Calibri"/>
      <family val="2"/>
      <charset val="204"/>
      <scheme val="minor"/>
    </font>
    <font>
      <sz val="11"/>
      <color rgb="FF000000"/>
      <name val="Calibri"/>
      <family val="2"/>
      <charset val="204"/>
      <scheme val="minor"/>
    </font>
    <font>
      <sz val="10"/>
      <color theme="1"/>
      <name val="Times New Roman"/>
      <family val="1"/>
      <charset val="204"/>
    </font>
    <font>
      <sz val="11"/>
      <color rgb="FF000000"/>
      <name val="Calibri"/>
      <family val="2"/>
      <charset val="204"/>
    </font>
    <font>
      <sz val="11"/>
      <color rgb="FF18181B"/>
      <name val="Calibri"/>
      <family val="2"/>
      <charset val="204"/>
      <scheme val="minor"/>
    </font>
  </fonts>
  <fills count="8">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DEBF7"/>
        <bgColor rgb="FFDDEBF7"/>
      </patternFill>
    </fill>
    <fill>
      <patternFill patternType="solid">
        <fgColor rgb="FF5B9BD5"/>
        <bgColor rgb="FF5B9BD5"/>
      </patternFill>
    </fill>
    <fill>
      <patternFill patternType="solid">
        <fgColor theme="0"/>
        <bgColor rgb="FF5B9BD5"/>
      </patternFill>
    </fill>
    <fill>
      <patternFill patternType="solid">
        <fgColor theme="0"/>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7">
    <xf numFmtId="0" fontId="0" fillId="0" borderId="0" xfId="0"/>
    <xf numFmtId="0" fontId="3" fillId="2" borderId="1" xfId="0" applyFont="1" applyFill="1" applyBorder="1"/>
    <xf numFmtId="0" fontId="4" fillId="0" borderId="0" xfId="0" applyFont="1" applyAlignment="1">
      <alignment vertical="top" wrapText="1"/>
    </xf>
    <xf numFmtId="0" fontId="7" fillId="0" borderId="0" xfId="0" applyFont="1"/>
    <xf numFmtId="0" fontId="9" fillId="5" borderId="5" xfId="0" applyFont="1" applyFill="1" applyBorder="1" applyAlignment="1">
      <alignment horizontal="center" vertical="center" wrapText="1"/>
    </xf>
    <xf numFmtId="0" fontId="10" fillId="0" borderId="0" xfId="0" applyFont="1"/>
    <xf numFmtId="0" fontId="4" fillId="0" borderId="5" xfId="0" applyFont="1" applyBorder="1" applyAlignment="1">
      <alignment vertical="top" wrapText="1"/>
    </xf>
    <xf numFmtId="0" fontId="4" fillId="3" borderId="5" xfId="0" applyFont="1" applyFill="1" applyBorder="1" applyAlignment="1">
      <alignment vertical="top" wrapText="1"/>
    </xf>
    <xf numFmtId="0" fontId="4" fillId="4" borderId="5" xfId="0" applyFont="1" applyFill="1" applyBorder="1" applyAlignment="1">
      <alignment vertical="top" wrapText="1"/>
    </xf>
    <xf numFmtId="0" fontId="11" fillId="0" borderId="0" xfId="0" applyFont="1"/>
    <xf numFmtId="0" fontId="4" fillId="4" borderId="1" xfId="0" applyFont="1" applyFill="1" applyBorder="1"/>
    <xf numFmtId="0" fontId="4" fillId="3" borderId="1" xfId="0" applyFont="1" applyFill="1" applyBorder="1"/>
    <xf numFmtId="0" fontId="9" fillId="5" borderId="9" xfId="0" applyFont="1" applyFill="1" applyBorder="1" applyAlignment="1">
      <alignment horizontal="center" vertical="center" wrapText="1"/>
    </xf>
    <xf numFmtId="0" fontId="4" fillId="3" borderId="10" xfId="0" applyFont="1" applyFill="1" applyBorder="1" applyAlignment="1">
      <alignment vertical="top" wrapText="1"/>
    </xf>
    <xf numFmtId="0" fontId="13" fillId="4" borderId="10" xfId="0" applyFont="1" applyFill="1" applyBorder="1" applyAlignment="1">
      <alignment vertical="top" wrapText="1"/>
    </xf>
    <xf numFmtId="0" fontId="4" fillId="4" borderId="10" xfId="0" applyFont="1" applyFill="1" applyBorder="1" applyAlignment="1">
      <alignment vertical="top" wrapText="1"/>
    </xf>
    <xf numFmtId="0" fontId="14" fillId="6" borderId="6" xfId="0" applyFont="1" applyFill="1" applyBorder="1" applyAlignment="1">
      <alignment horizontal="center" vertical="top" wrapText="1"/>
    </xf>
    <xf numFmtId="0" fontId="12" fillId="0" borderId="6" xfId="0" applyFont="1" applyBorder="1" applyAlignment="1">
      <alignment horizontal="center" vertical="top"/>
    </xf>
    <xf numFmtId="0" fontId="14" fillId="6" borderId="7" xfId="0" applyFont="1" applyFill="1" applyBorder="1" applyAlignment="1">
      <alignment horizontal="center" vertical="top" wrapText="1"/>
    </xf>
    <xf numFmtId="0" fontId="14" fillId="6" borderId="8" xfId="0" applyFont="1" applyFill="1" applyBorder="1" applyAlignment="1">
      <alignment horizontal="center" vertical="top" wrapText="1"/>
    </xf>
    <xf numFmtId="0" fontId="14" fillId="6" borderId="5" xfId="0" applyFont="1" applyFill="1" applyBorder="1" applyAlignment="1">
      <alignment horizontal="center" vertical="top" wrapText="1"/>
    </xf>
    <xf numFmtId="0" fontId="12" fillId="0" borderId="0" xfId="0" applyFont="1" applyAlignment="1">
      <alignment horizontal="center" vertical="top" wrapText="1"/>
    </xf>
    <xf numFmtId="0" fontId="16" fillId="7" borderId="0" xfId="0" applyFont="1" applyFill="1" applyAlignment="1">
      <alignment horizontal="center" vertical="top"/>
    </xf>
    <xf numFmtId="0" fontId="2" fillId="7" borderId="0" xfId="0" applyFont="1" applyFill="1" applyAlignment="1">
      <alignment horizontal="center" vertical="top"/>
    </xf>
    <xf numFmtId="0" fontId="18" fillId="0" borderId="0" xfId="0" applyFont="1" applyAlignment="1">
      <alignment vertical="top" wrapText="1"/>
    </xf>
    <xf numFmtId="0" fontId="18" fillId="0" borderId="0" xfId="0" applyFont="1" applyAlignment="1">
      <alignment vertical="top"/>
    </xf>
    <xf numFmtId="0" fontId="17" fillId="0" borderId="0" xfId="0" applyFont="1" applyAlignment="1">
      <alignment vertical="top"/>
    </xf>
    <xf numFmtId="0" fontId="19" fillId="0" borderId="0" xfId="0" applyFont="1"/>
    <xf numFmtId="0" fontId="1" fillId="0" borderId="0" xfId="0" applyFont="1"/>
    <xf numFmtId="0" fontId="7" fillId="0" borderId="0" xfId="0" applyFont="1"/>
    <xf numFmtId="0" fontId="0" fillId="0" borderId="0" xfId="0"/>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4" fillId="3" borderId="2" xfId="0" applyFont="1" applyFill="1" applyBorder="1"/>
    <xf numFmtId="0" fontId="4" fillId="4" borderId="2" xfId="0" applyFont="1" applyFill="1" applyBorder="1"/>
    <xf numFmtId="0" fontId="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2" workbookViewId="0">
      <selection activeCell="A2" sqref="A2:B43"/>
    </sheetView>
  </sheetViews>
  <sheetFormatPr defaultColWidth="14.42578125" defaultRowHeight="15" customHeight="1" x14ac:dyDescent="0.25"/>
  <cols>
    <col min="1" max="11" width="50"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4" t="s">
        <v>113</v>
      </c>
      <c r="B2" s="24" t="s">
        <v>114</v>
      </c>
      <c r="C2" s="2" t="s">
        <v>11</v>
      </c>
      <c r="D2" s="2" t="s">
        <v>12</v>
      </c>
      <c r="E2" s="2" t="s">
        <v>13</v>
      </c>
      <c r="F2" s="2" t="s">
        <v>14</v>
      </c>
      <c r="G2" s="2" t="s">
        <v>15</v>
      </c>
      <c r="H2" s="2" t="s">
        <v>16</v>
      </c>
      <c r="I2" s="2" t="s">
        <v>17</v>
      </c>
      <c r="J2" s="2" t="s">
        <v>18</v>
      </c>
      <c r="K2" s="2" t="s">
        <v>19</v>
      </c>
    </row>
    <row r="3" spans="1:11" ht="30" x14ac:dyDescent="0.25">
      <c r="A3" s="24" t="s">
        <v>115</v>
      </c>
      <c r="B3" s="24" t="s">
        <v>116</v>
      </c>
      <c r="C3" s="2" t="s">
        <v>20</v>
      </c>
      <c r="D3" s="2" t="s">
        <v>21</v>
      </c>
      <c r="E3" s="2" t="s">
        <v>22</v>
      </c>
      <c r="F3" s="2" t="s">
        <v>23</v>
      </c>
      <c r="G3" s="2" t="s">
        <v>24</v>
      </c>
      <c r="H3" s="2" t="s">
        <v>25</v>
      </c>
      <c r="I3" s="2" t="s">
        <v>26</v>
      </c>
      <c r="J3" s="2" t="s">
        <v>27</v>
      </c>
      <c r="K3" s="2" t="s">
        <v>28</v>
      </c>
    </row>
    <row r="4" spans="1:11" ht="30" x14ac:dyDescent="0.25">
      <c r="A4" s="24" t="s">
        <v>117</v>
      </c>
      <c r="B4" s="24" t="s">
        <v>118</v>
      </c>
      <c r="D4" s="2" t="s">
        <v>29</v>
      </c>
      <c r="E4" s="2" t="s">
        <v>30</v>
      </c>
      <c r="F4" s="2" t="s">
        <v>31</v>
      </c>
      <c r="G4" s="2" t="s">
        <v>32</v>
      </c>
      <c r="H4" s="2" t="s">
        <v>33</v>
      </c>
      <c r="I4" s="2" t="s">
        <v>34</v>
      </c>
      <c r="J4" s="2" t="s">
        <v>35</v>
      </c>
      <c r="K4" s="2" t="s">
        <v>36</v>
      </c>
    </row>
    <row r="5" spans="1:11" x14ac:dyDescent="0.25">
      <c r="A5" s="24" t="s">
        <v>173</v>
      </c>
      <c r="B5" s="24" t="s">
        <v>37</v>
      </c>
      <c r="D5" s="2" t="s">
        <v>38</v>
      </c>
      <c r="E5" s="2" t="s">
        <v>39</v>
      </c>
      <c r="G5" s="2" t="s">
        <v>40</v>
      </c>
      <c r="H5" s="2" t="s">
        <v>41</v>
      </c>
      <c r="I5" s="2" t="s">
        <v>42</v>
      </c>
      <c r="J5" s="2" t="s">
        <v>43</v>
      </c>
      <c r="K5" s="2" t="s">
        <v>44</v>
      </c>
    </row>
    <row r="6" spans="1:11" x14ac:dyDescent="0.25">
      <c r="A6" s="24" t="s">
        <v>119</v>
      </c>
      <c r="B6" s="24" t="s">
        <v>45</v>
      </c>
      <c r="E6" s="2" t="s">
        <v>46</v>
      </c>
      <c r="G6" s="2" t="s">
        <v>47</v>
      </c>
      <c r="H6" s="2" t="s">
        <v>48</v>
      </c>
      <c r="I6" s="2" t="s">
        <v>49</v>
      </c>
      <c r="J6" s="2" t="s">
        <v>50</v>
      </c>
      <c r="K6" s="2" t="s">
        <v>51</v>
      </c>
    </row>
    <row r="7" spans="1:11" x14ac:dyDescent="0.25">
      <c r="A7" s="2" t="s">
        <v>120</v>
      </c>
      <c r="B7" s="24" t="s">
        <v>52</v>
      </c>
      <c r="H7" s="2" t="s">
        <v>47</v>
      </c>
      <c r="I7" s="2" t="s">
        <v>47</v>
      </c>
      <c r="J7" s="2" t="s">
        <v>53</v>
      </c>
      <c r="K7" s="2" t="s">
        <v>47</v>
      </c>
    </row>
    <row r="8" spans="1:11" x14ac:dyDescent="0.25">
      <c r="A8" s="24" t="s">
        <v>56</v>
      </c>
      <c r="B8" s="24" t="s">
        <v>54</v>
      </c>
      <c r="J8" s="2" t="s">
        <v>47</v>
      </c>
    </row>
    <row r="9" spans="1:11" x14ac:dyDescent="0.25">
      <c r="A9" s="24" t="s">
        <v>174</v>
      </c>
      <c r="B9" s="24" t="s">
        <v>55</v>
      </c>
    </row>
    <row r="10" spans="1:11" x14ac:dyDescent="0.25">
      <c r="A10" s="24" t="s">
        <v>59</v>
      </c>
      <c r="B10" s="24" t="s">
        <v>121</v>
      </c>
    </row>
    <row r="11" spans="1:11" x14ac:dyDescent="0.25">
      <c r="A11" s="24" t="s">
        <v>73</v>
      </c>
      <c r="B11" s="24" t="s">
        <v>57</v>
      </c>
    </row>
    <row r="12" spans="1:11" x14ac:dyDescent="0.25">
      <c r="A12" s="24" t="s">
        <v>122</v>
      </c>
      <c r="B12" s="24" t="s">
        <v>58</v>
      </c>
    </row>
    <row r="13" spans="1:11" x14ac:dyDescent="0.25">
      <c r="B13" s="24" t="s">
        <v>60</v>
      </c>
    </row>
    <row r="14" spans="1:11" x14ac:dyDescent="0.25">
      <c r="A14" s="25"/>
      <c r="B14" s="24" t="s">
        <v>123</v>
      </c>
    </row>
    <row r="15" spans="1:11" x14ac:dyDescent="0.25">
      <c r="A15" s="25"/>
      <c r="B15" s="24" t="s">
        <v>124</v>
      </c>
    </row>
    <row r="16" spans="1:11" x14ac:dyDescent="0.25">
      <c r="A16" s="26"/>
      <c r="B16" s="24" t="s">
        <v>125</v>
      </c>
    </row>
    <row r="17" spans="1:2" x14ac:dyDescent="0.25">
      <c r="A17" s="26"/>
      <c r="B17" s="24" t="s">
        <v>126</v>
      </c>
    </row>
    <row r="18" spans="1:2" x14ac:dyDescent="0.25">
      <c r="A18" s="26"/>
      <c r="B18" s="24" t="s">
        <v>61</v>
      </c>
    </row>
    <row r="19" spans="1:2" x14ac:dyDescent="0.25">
      <c r="A19" s="26"/>
      <c r="B19" s="24" t="s">
        <v>62</v>
      </c>
    </row>
    <row r="20" spans="1:2" x14ac:dyDescent="0.25">
      <c r="A20" s="26"/>
      <c r="B20" s="24" t="s">
        <v>63</v>
      </c>
    </row>
    <row r="21" spans="1:2" ht="15.75" customHeight="1" x14ac:dyDescent="0.25">
      <c r="A21" s="26"/>
      <c r="B21" s="24" t="s">
        <v>64</v>
      </c>
    </row>
    <row r="22" spans="1:2" ht="15.75" customHeight="1" x14ac:dyDescent="0.25">
      <c r="A22" s="26"/>
      <c r="B22" s="24" t="s">
        <v>65</v>
      </c>
    </row>
    <row r="23" spans="1:2" ht="15.75" customHeight="1" x14ac:dyDescent="0.25">
      <c r="A23" s="26"/>
      <c r="B23" s="24" t="s">
        <v>66</v>
      </c>
    </row>
    <row r="24" spans="1:2" ht="15.75" customHeight="1" x14ac:dyDescent="0.25">
      <c r="A24" s="26"/>
      <c r="B24" s="24" t="s">
        <v>67</v>
      </c>
    </row>
    <row r="25" spans="1:2" ht="15.75" customHeight="1" x14ac:dyDescent="0.25">
      <c r="A25" s="26"/>
      <c r="B25" s="24" t="s">
        <v>68</v>
      </c>
    </row>
    <row r="26" spans="1:2" ht="15.75" customHeight="1" x14ac:dyDescent="0.25">
      <c r="A26" s="26"/>
      <c r="B26" s="24" t="s">
        <v>69</v>
      </c>
    </row>
    <row r="27" spans="1:2" ht="15.75" customHeight="1" x14ac:dyDescent="0.25">
      <c r="A27" s="26"/>
      <c r="B27" s="24" t="s">
        <v>70</v>
      </c>
    </row>
    <row r="28" spans="1:2" ht="15.75" customHeight="1" x14ac:dyDescent="0.25">
      <c r="A28" s="26"/>
      <c r="B28" s="24" t="s">
        <v>127</v>
      </c>
    </row>
    <row r="29" spans="1:2" ht="15.75" customHeight="1" x14ac:dyDescent="0.25">
      <c r="A29" s="26"/>
      <c r="B29" s="24" t="s">
        <v>71</v>
      </c>
    </row>
    <row r="30" spans="1:2" ht="15.75" customHeight="1" x14ac:dyDescent="0.25">
      <c r="A30" s="26"/>
      <c r="B30" s="24" t="s">
        <v>128</v>
      </c>
    </row>
    <row r="31" spans="1:2" ht="15.75" customHeight="1" x14ac:dyDescent="0.25">
      <c r="A31" s="26"/>
      <c r="B31" s="24" t="s">
        <v>129</v>
      </c>
    </row>
    <row r="32" spans="1:2" ht="15.75" customHeight="1" x14ac:dyDescent="0.25">
      <c r="A32" s="26"/>
      <c r="B32" s="24" t="s">
        <v>72</v>
      </c>
    </row>
    <row r="33" spans="1:2" ht="15.75" customHeight="1" x14ac:dyDescent="0.25">
      <c r="A33" s="26"/>
      <c r="B33" s="24" t="s">
        <v>175</v>
      </c>
    </row>
    <row r="34" spans="1:2" ht="15.75" customHeight="1" x14ac:dyDescent="0.25">
      <c r="A34" s="25"/>
      <c r="B34" s="24" t="s">
        <v>130</v>
      </c>
    </row>
    <row r="35" spans="1:2" ht="15.75" customHeight="1" x14ac:dyDescent="0.25">
      <c r="B35" s="24" t="s">
        <v>131</v>
      </c>
    </row>
    <row r="36" spans="1:2" ht="15.75" customHeight="1" x14ac:dyDescent="0.25">
      <c r="B36" s="24" t="s">
        <v>132</v>
      </c>
    </row>
    <row r="37" spans="1:2" ht="15.75" customHeight="1" x14ac:dyDescent="0.25">
      <c r="B37" s="28" t="s">
        <v>133</v>
      </c>
    </row>
    <row r="38" spans="1:2" ht="15.75" customHeight="1" x14ac:dyDescent="0.25">
      <c r="B38" s="27" t="s">
        <v>134</v>
      </c>
    </row>
    <row r="39" spans="1:2" ht="15.75" customHeight="1" x14ac:dyDescent="0.25">
      <c r="B39" s="24" t="s">
        <v>173</v>
      </c>
    </row>
    <row r="40" spans="1:2" ht="15.75" customHeight="1" x14ac:dyDescent="0.25">
      <c r="B40" s="24" t="s">
        <v>56</v>
      </c>
    </row>
    <row r="41" spans="1:2" ht="15.75" customHeight="1" x14ac:dyDescent="0.25">
      <c r="B41" s="28" t="s">
        <v>135</v>
      </c>
    </row>
    <row r="42" spans="1:2" ht="15.75" customHeight="1" x14ac:dyDescent="0.25">
      <c r="B42" t="s">
        <v>176</v>
      </c>
    </row>
    <row r="43" spans="1:2" ht="15.75" customHeight="1" x14ac:dyDescent="0.25">
      <c r="B43" t="s">
        <v>177</v>
      </c>
    </row>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zoomScale="75" zoomScaleNormal="75" workbookViewId="0">
      <selection activeCell="J11" activeCellId="4" sqref="C5 R11:R25 P11:P25 N11:N25 J11:J25 L11:L25"/>
    </sheetView>
  </sheetViews>
  <sheetFormatPr defaultColWidth="14.42578125" defaultRowHeight="15" customHeight="1" x14ac:dyDescent="0.25"/>
  <cols>
    <col min="1" max="1" width="10.85546875" customWidth="1"/>
    <col min="2" max="2" width="35" customWidth="1"/>
    <col min="3" max="3" width="28.5703125" customWidth="1"/>
    <col min="4" max="4" width="25.28515625" customWidth="1"/>
    <col min="5" max="5" width="26.42578125" customWidth="1"/>
    <col min="6" max="6" width="26.5703125" customWidth="1"/>
    <col min="7" max="7" width="21.28515625" customWidth="1"/>
    <col min="8" max="9" width="15" customWidth="1"/>
    <col min="10" max="10" width="20" customWidth="1"/>
    <col min="11" max="11" width="25" customWidth="1"/>
    <col min="12" max="12" width="20" customWidth="1"/>
    <col min="13" max="13" width="25" customWidth="1"/>
    <col min="14" max="14" width="20" customWidth="1"/>
    <col min="15" max="15" width="25" customWidth="1"/>
    <col min="16" max="16" width="20" customWidth="1"/>
    <col min="17" max="17" width="25" customWidth="1"/>
    <col min="18" max="18" width="20" customWidth="1"/>
    <col min="19" max="19" width="25" customWidth="1"/>
    <col min="20" max="20" width="25.7109375" customWidth="1"/>
    <col min="21" max="21" width="18" customWidth="1"/>
    <col min="22" max="22" width="19.28515625" customWidth="1"/>
    <col min="23" max="24" width="20" customWidth="1"/>
    <col min="25" max="26" width="8.7109375" customWidth="1"/>
  </cols>
  <sheetData>
    <row r="1" spans="1:26" ht="30" customHeight="1" x14ac:dyDescent="0.25">
      <c r="A1" s="31" t="s">
        <v>74</v>
      </c>
      <c r="B1" s="32"/>
      <c r="C1" s="32"/>
      <c r="D1" s="32"/>
      <c r="E1" s="32"/>
      <c r="F1" s="32"/>
      <c r="G1" s="32"/>
      <c r="H1" s="32"/>
      <c r="I1" s="32"/>
      <c r="J1" s="32"/>
      <c r="K1" s="32"/>
      <c r="L1" s="32"/>
      <c r="M1" s="32"/>
      <c r="N1" s="32"/>
      <c r="O1" s="32"/>
      <c r="P1" s="32"/>
      <c r="Q1" s="32"/>
      <c r="R1" s="32"/>
      <c r="S1" s="32"/>
      <c r="T1" s="32"/>
      <c r="U1" s="32"/>
      <c r="V1" s="32"/>
      <c r="W1" s="32"/>
      <c r="X1" s="33"/>
    </row>
    <row r="3" spans="1:26" x14ac:dyDescent="0.25">
      <c r="B3" s="3" t="s">
        <v>75</v>
      </c>
      <c r="C3" s="34" t="s">
        <v>136</v>
      </c>
      <c r="D3" s="32"/>
      <c r="E3" s="32"/>
      <c r="F3" s="32"/>
      <c r="G3" s="32"/>
      <c r="H3" s="32"/>
      <c r="I3" s="32"/>
      <c r="J3" s="32"/>
      <c r="K3" s="32"/>
      <c r="L3" s="32"/>
      <c r="M3" s="32"/>
      <c r="N3" s="32"/>
      <c r="O3" s="32"/>
      <c r="P3" s="32"/>
      <c r="Q3" s="32"/>
      <c r="R3" s="32"/>
      <c r="S3" s="32"/>
      <c r="T3" s="32"/>
      <c r="U3" s="32"/>
      <c r="V3" s="32"/>
      <c r="W3" s="32"/>
      <c r="X3" s="33"/>
    </row>
    <row r="4" spans="1:26" x14ac:dyDescent="0.25">
      <c r="B4" s="3" t="s">
        <v>76</v>
      </c>
      <c r="C4" s="35" t="s">
        <v>115</v>
      </c>
      <c r="D4" s="32"/>
      <c r="E4" s="32"/>
      <c r="F4" s="32"/>
      <c r="G4" s="32"/>
      <c r="H4" s="32"/>
      <c r="I4" s="32"/>
      <c r="J4" s="32"/>
      <c r="K4" s="32"/>
      <c r="L4" s="32"/>
      <c r="M4" s="32"/>
      <c r="N4" s="32"/>
      <c r="O4" s="32"/>
      <c r="P4" s="32"/>
      <c r="Q4" s="32"/>
      <c r="R4" s="32"/>
      <c r="S4" s="32"/>
      <c r="T4" s="32"/>
      <c r="U4" s="32"/>
      <c r="V4" s="32"/>
      <c r="W4" s="32"/>
      <c r="X4" s="33"/>
    </row>
    <row r="5" spans="1:26" x14ac:dyDescent="0.25">
      <c r="B5" s="3" t="s">
        <v>77</v>
      </c>
      <c r="C5" s="35" t="s">
        <v>125</v>
      </c>
      <c r="D5" s="32"/>
      <c r="E5" s="32"/>
      <c r="F5" s="32"/>
      <c r="G5" s="32"/>
      <c r="H5" s="32"/>
      <c r="I5" s="32"/>
      <c r="J5" s="32"/>
      <c r="K5" s="32"/>
      <c r="L5" s="32"/>
      <c r="M5" s="32"/>
      <c r="N5" s="32"/>
      <c r="O5" s="32"/>
      <c r="P5" s="32"/>
      <c r="Q5" s="32"/>
      <c r="R5" s="32"/>
      <c r="S5" s="32"/>
      <c r="T5" s="32"/>
      <c r="U5" s="32"/>
      <c r="V5" s="32"/>
      <c r="W5" s="32"/>
      <c r="X5" s="33"/>
    </row>
    <row r="6" spans="1:26" x14ac:dyDescent="0.25">
      <c r="B6" s="3" t="s">
        <v>78</v>
      </c>
      <c r="C6" s="34" t="s">
        <v>137</v>
      </c>
      <c r="D6" s="32"/>
      <c r="E6" s="32"/>
      <c r="F6" s="32"/>
      <c r="G6" s="32"/>
      <c r="H6" s="32"/>
      <c r="I6" s="32"/>
      <c r="J6" s="32"/>
      <c r="K6" s="32"/>
      <c r="L6" s="32"/>
      <c r="M6" s="32"/>
      <c r="N6" s="32"/>
      <c r="O6" s="32"/>
      <c r="P6" s="32"/>
      <c r="Q6" s="32"/>
      <c r="R6" s="32"/>
      <c r="S6" s="32"/>
      <c r="T6" s="32"/>
      <c r="U6" s="32"/>
      <c r="V6" s="32"/>
      <c r="W6" s="32"/>
      <c r="X6" s="33"/>
    </row>
    <row r="8" spans="1:26" ht="15.75" x14ac:dyDescent="0.25">
      <c r="A8" s="36" t="s">
        <v>79</v>
      </c>
      <c r="B8" s="30"/>
      <c r="C8" s="30"/>
      <c r="D8" s="30"/>
      <c r="E8" s="30"/>
      <c r="F8" s="30"/>
      <c r="G8" s="30"/>
      <c r="H8" s="30"/>
      <c r="I8" s="30"/>
      <c r="J8" s="30"/>
      <c r="K8" s="30"/>
      <c r="L8" s="30"/>
      <c r="M8" s="30"/>
      <c r="N8" s="30"/>
      <c r="O8" s="30"/>
      <c r="P8" s="30"/>
      <c r="Q8" s="30"/>
      <c r="R8" s="30"/>
      <c r="S8" s="30"/>
      <c r="T8" s="30"/>
      <c r="U8" s="30"/>
      <c r="V8" s="30"/>
      <c r="W8" s="30"/>
      <c r="X8" s="30"/>
    </row>
    <row r="9" spans="1:26" ht="97.15" customHeight="1" x14ac:dyDescent="0.3">
      <c r="A9" s="4" t="s">
        <v>80</v>
      </c>
      <c r="B9" s="12" t="s">
        <v>81</v>
      </c>
      <c r="C9" s="12" t="s">
        <v>82</v>
      </c>
      <c r="D9" s="12" t="s">
        <v>83</v>
      </c>
      <c r="E9" s="12" t="s">
        <v>84</v>
      </c>
      <c r="F9" s="12" t="s">
        <v>106</v>
      </c>
      <c r="G9" s="4" t="s">
        <v>85</v>
      </c>
      <c r="H9" s="4" t="s">
        <v>86</v>
      </c>
      <c r="I9" s="4" t="s">
        <v>87</v>
      </c>
      <c r="J9" s="4" t="s">
        <v>88</v>
      </c>
      <c r="K9" s="4" t="s">
        <v>89</v>
      </c>
      <c r="L9" s="4" t="s">
        <v>90</v>
      </c>
      <c r="M9" s="4" t="s">
        <v>91</v>
      </c>
      <c r="N9" s="4" t="s">
        <v>92</v>
      </c>
      <c r="O9" s="4" t="s">
        <v>93</v>
      </c>
      <c r="P9" s="4" t="s">
        <v>94</v>
      </c>
      <c r="Q9" s="4" t="s">
        <v>95</v>
      </c>
      <c r="R9" s="4" t="s">
        <v>96</v>
      </c>
      <c r="S9" s="4" t="s">
        <v>97</v>
      </c>
      <c r="T9" s="4" t="s">
        <v>98</v>
      </c>
      <c r="U9" s="4" t="s">
        <v>99</v>
      </c>
      <c r="V9" s="4" t="s">
        <v>100</v>
      </c>
      <c r="W9" s="4" t="s">
        <v>101</v>
      </c>
      <c r="X9" s="4" t="s">
        <v>102</v>
      </c>
      <c r="Y9" s="5"/>
      <c r="Z9" s="5"/>
    </row>
    <row r="10" spans="1:26" s="23" customFormat="1" ht="48.6" customHeight="1" x14ac:dyDescent="0.25">
      <c r="A10" s="18" t="s">
        <v>112</v>
      </c>
      <c r="B10" s="16" t="s">
        <v>107</v>
      </c>
      <c r="C10" s="17" t="s">
        <v>108</v>
      </c>
      <c r="D10" s="17" t="s">
        <v>108</v>
      </c>
      <c r="E10" s="17" t="s">
        <v>108</v>
      </c>
      <c r="F10" s="16" t="s">
        <v>110</v>
      </c>
      <c r="G10" s="19"/>
      <c r="H10" s="20"/>
      <c r="I10" s="20"/>
      <c r="J10" s="17" t="s">
        <v>108</v>
      </c>
      <c r="K10" s="21" t="s">
        <v>109</v>
      </c>
      <c r="L10" s="17" t="s">
        <v>108</v>
      </c>
      <c r="M10" s="21" t="s">
        <v>109</v>
      </c>
      <c r="N10" s="17" t="s">
        <v>108</v>
      </c>
      <c r="O10" s="21" t="s">
        <v>109</v>
      </c>
      <c r="P10" s="17" t="s">
        <v>108</v>
      </c>
      <c r="Q10" s="21" t="s">
        <v>109</v>
      </c>
      <c r="R10" s="17" t="s">
        <v>108</v>
      </c>
      <c r="S10" s="21" t="s">
        <v>109</v>
      </c>
      <c r="T10" s="20"/>
      <c r="U10" s="20"/>
      <c r="V10" s="20" t="s">
        <v>111</v>
      </c>
      <c r="W10" s="20"/>
      <c r="X10" s="20"/>
      <c r="Y10" s="22"/>
      <c r="Z10" s="22"/>
    </row>
    <row r="11" spans="1:26" ht="55.9" customHeight="1" x14ac:dyDescent="0.25">
      <c r="A11" s="6">
        <v>1</v>
      </c>
      <c r="B11" s="13" t="s">
        <v>138</v>
      </c>
      <c r="C11" s="14" t="s">
        <v>11</v>
      </c>
      <c r="D11" s="14" t="s">
        <v>12</v>
      </c>
      <c r="E11" s="15" t="s">
        <v>13</v>
      </c>
      <c r="F11" s="13">
        <v>90</v>
      </c>
      <c r="G11" s="7" t="s">
        <v>15</v>
      </c>
      <c r="H11" s="7" t="s">
        <v>142</v>
      </c>
      <c r="I11" s="7" t="s">
        <v>143</v>
      </c>
      <c r="J11" s="8" t="s">
        <v>135</v>
      </c>
      <c r="K11" s="7" t="s">
        <v>162</v>
      </c>
      <c r="L11" s="8"/>
      <c r="M11" s="7"/>
      <c r="N11" s="8"/>
      <c r="O11" s="7"/>
      <c r="P11" s="8"/>
      <c r="Q11" s="7"/>
      <c r="R11" s="8"/>
      <c r="S11" s="7"/>
      <c r="T11" s="7" t="s">
        <v>139</v>
      </c>
      <c r="U11" s="7" t="s">
        <v>140</v>
      </c>
      <c r="V11" s="8" t="s">
        <v>31</v>
      </c>
      <c r="W11" s="7" t="s">
        <v>35</v>
      </c>
      <c r="X11" s="7" t="s">
        <v>141</v>
      </c>
    </row>
    <row r="12" spans="1:26" ht="39.75" customHeight="1" x14ac:dyDescent="0.25">
      <c r="A12" s="6">
        <v>2</v>
      </c>
      <c r="B12" s="7" t="s">
        <v>144</v>
      </c>
      <c r="C12" s="8" t="s">
        <v>11</v>
      </c>
      <c r="D12" s="8" t="s">
        <v>38</v>
      </c>
      <c r="E12" s="8" t="s">
        <v>46</v>
      </c>
      <c r="F12" s="7">
        <v>20</v>
      </c>
      <c r="G12" s="7" t="s">
        <v>15</v>
      </c>
      <c r="H12" s="7" t="s">
        <v>47</v>
      </c>
      <c r="I12" s="7" t="s">
        <v>143</v>
      </c>
      <c r="J12" s="8" t="s">
        <v>126</v>
      </c>
      <c r="K12" s="7" t="s">
        <v>145</v>
      </c>
      <c r="L12" s="8"/>
      <c r="M12" s="7"/>
      <c r="N12" s="8"/>
      <c r="O12" s="7"/>
      <c r="P12" s="8"/>
      <c r="Q12" s="7"/>
      <c r="R12" s="8"/>
      <c r="S12" s="7"/>
      <c r="T12" s="7" t="s">
        <v>139</v>
      </c>
      <c r="U12" s="7" t="s">
        <v>140</v>
      </c>
      <c r="V12" s="8" t="s">
        <v>14</v>
      </c>
      <c r="W12" s="7" t="s">
        <v>18</v>
      </c>
      <c r="X12" s="7" t="s">
        <v>44</v>
      </c>
    </row>
    <row r="13" spans="1:26" ht="39.75" customHeight="1" x14ac:dyDescent="0.25">
      <c r="A13" s="6">
        <v>3</v>
      </c>
      <c r="B13" s="7" t="s">
        <v>144</v>
      </c>
      <c r="C13" s="8" t="s">
        <v>11</v>
      </c>
      <c r="D13" s="8" t="s">
        <v>38</v>
      </c>
      <c r="E13" s="8" t="s">
        <v>46</v>
      </c>
      <c r="F13" s="7">
        <v>20</v>
      </c>
      <c r="G13" s="7" t="s">
        <v>15</v>
      </c>
      <c r="H13" s="7" t="s">
        <v>47</v>
      </c>
      <c r="I13" s="7" t="s">
        <v>143</v>
      </c>
      <c r="J13" s="8" t="s">
        <v>56</v>
      </c>
      <c r="K13" s="7" t="s">
        <v>146</v>
      </c>
      <c r="L13" s="8"/>
      <c r="M13" s="7"/>
      <c r="N13" s="8"/>
      <c r="O13" s="7"/>
      <c r="P13" s="8"/>
      <c r="Q13" s="7"/>
      <c r="R13" s="8"/>
      <c r="S13" s="7"/>
      <c r="T13" s="7" t="s">
        <v>139</v>
      </c>
      <c r="U13" s="7" t="s">
        <v>140</v>
      </c>
      <c r="V13" s="8" t="s">
        <v>14</v>
      </c>
      <c r="W13" s="7" t="s">
        <v>18</v>
      </c>
      <c r="X13" s="7" t="s">
        <v>19</v>
      </c>
    </row>
    <row r="14" spans="1:26" ht="39.75" customHeight="1" x14ac:dyDescent="0.25">
      <c r="A14" s="6">
        <v>4</v>
      </c>
      <c r="B14" s="7" t="s">
        <v>147</v>
      </c>
      <c r="C14" s="8" t="s">
        <v>11</v>
      </c>
      <c r="D14" s="8" t="s">
        <v>12</v>
      </c>
      <c r="E14" s="8" t="s">
        <v>13</v>
      </c>
      <c r="F14" s="7">
        <v>20</v>
      </c>
      <c r="G14" s="7" t="s">
        <v>15</v>
      </c>
      <c r="H14" s="7" t="s">
        <v>47</v>
      </c>
      <c r="I14" s="7" t="s">
        <v>143</v>
      </c>
      <c r="J14" s="8" t="s">
        <v>135</v>
      </c>
      <c r="K14" s="7" t="s">
        <v>148</v>
      </c>
      <c r="L14" s="8"/>
      <c r="M14" s="7"/>
      <c r="N14" s="8"/>
      <c r="O14" s="7"/>
      <c r="P14" s="8"/>
      <c r="Q14" s="7"/>
      <c r="R14" s="8"/>
      <c r="S14" s="7"/>
      <c r="T14" s="7" t="s">
        <v>149</v>
      </c>
      <c r="U14" s="7" t="s">
        <v>150</v>
      </c>
      <c r="V14" s="8" t="s">
        <v>23</v>
      </c>
      <c r="W14" s="7" t="s">
        <v>35</v>
      </c>
      <c r="X14" s="7" t="s">
        <v>151</v>
      </c>
    </row>
    <row r="15" spans="1:26" ht="39.75" customHeight="1" x14ac:dyDescent="0.25">
      <c r="A15" s="6">
        <v>5</v>
      </c>
      <c r="B15" s="7" t="s">
        <v>152</v>
      </c>
      <c r="C15" s="8" t="s">
        <v>11</v>
      </c>
      <c r="D15" s="8" t="s">
        <v>21</v>
      </c>
      <c r="E15" s="8" t="s">
        <v>13</v>
      </c>
      <c r="F15" s="7">
        <v>30</v>
      </c>
      <c r="G15" s="7" t="s">
        <v>15</v>
      </c>
      <c r="H15" s="7" t="s">
        <v>47</v>
      </c>
      <c r="I15" s="7" t="s">
        <v>143</v>
      </c>
      <c r="J15" s="8" t="s">
        <v>135</v>
      </c>
      <c r="K15" s="7" t="s">
        <v>153</v>
      </c>
      <c r="L15" s="8"/>
      <c r="M15" s="7"/>
      <c r="N15" s="8"/>
      <c r="O15" s="7"/>
      <c r="P15" s="8"/>
      <c r="Q15" s="7"/>
      <c r="R15" s="8"/>
      <c r="S15" s="7"/>
      <c r="T15" s="7" t="s">
        <v>170</v>
      </c>
      <c r="U15" s="7" t="s">
        <v>154</v>
      </c>
      <c r="V15" s="8" t="s">
        <v>23</v>
      </c>
      <c r="W15" s="7" t="s">
        <v>18</v>
      </c>
      <c r="X15" s="7" t="s">
        <v>19</v>
      </c>
    </row>
    <row r="16" spans="1:26" ht="39.75" customHeight="1" x14ac:dyDescent="0.25">
      <c r="A16" s="6">
        <v>6</v>
      </c>
      <c r="B16" s="7" t="s">
        <v>156</v>
      </c>
      <c r="C16" s="8" t="s">
        <v>11</v>
      </c>
      <c r="D16" s="8" t="s">
        <v>12</v>
      </c>
      <c r="E16" s="8" t="s">
        <v>13</v>
      </c>
      <c r="F16" s="7">
        <v>45</v>
      </c>
      <c r="G16" s="7" t="s">
        <v>155</v>
      </c>
      <c r="H16" s="7" t="s">
        <v>47</v>
      </c>
      <c r="I16" s="7" t="s">
        <v>154</v>
      </c>
      <c r="J16" s="8" t="s">
        <v>57</v>
      </c>
      <c r="K16" s="7" t="s">
        <v>172</v>
      </c>
      <c r="L16" s="8"/>
      <c r="M16" s="7"/>
      <c r="N16" s="8"/>
      <c r="O16" s="7"/>
      <c r="P16" s="8"/>
      <c r="Q16" s="7"/>
      <c r="R16" s="8"/>
      <c r="S16" s="7"/>
      <c r="T16" s="7" t="s">
        <v>171</v>
      </c>
      <c r="U16" s="7" t="s">
        <v>150</v>
      </c>
      <c r="V16" s="8" t="s">
        <v>23</v>
      </c>
      <c r="W16" s="7" t="s">
        <v>35</v>
      </c>
      <c r="X16" s="7" t="s">
        <v>19</v>
      </c>
    </row>
    <row r="17" spans="1:24" ht="39.75" customHeight="1" x14ac:dyDescent="0.25">
      <c r="A17" s="6">
        <v>7</v>
      </c>
      <c r="B17" s="7" t="s">
        <v>157</v>
      </c>
      <c r="C17" s="8" t="s">
        <v>11</v>
      </c>
      <c r="D17" s="8" t="s">
        <v>29</v>
      </c>
      <c r="E17" s="8" t="s">
        <v>13</v>
      </c>
      <c r="F17" s="7">
        <v>20</v>
      </c>
      <c r="G17" s="7" t="s">
        <v>158</v>
      </c>
      <c r="H17" s="7" t="s">
        <v>165</v>
      </c>
      <c r="I17" s="7" t="s">
        <v>154</v>
      </c>
      <c r="J17" s="8" t="s">
        <v>118</v>
      </c>
      <c r="K17" s="7" t="s">
        <v>159</v>
      </c>
      <c r="L17" s="8"/>
      <c r="M17" s="7"/>
      <c r="N17" s="8"/>
      <c r="O17" s="7"/>
      <c r="P17" s="8"/>
      <c r="Q17" s="7"/>
      <c r="R17" s="8"/>
      <c r="S17" s="7"/>
      <c r="T17" s="7" t="s">
        <v>169</v>
      </c>
      <c r="U17" s="7" t="s">
        <v>150</v>
      </c>
      <c r="V17" s="8" t="s">
        <v>14</v>
      </c>
      <c r="W17" s="7" t="s">
        <v>35</v>
      </c>
      <c r="X17" s="7" t="s">
        <v>19</v>
      </c>
    </row>
    <row r="18" spans="1:24" ht="39.75" customHeight="1" x14ac:dyDescent="0.25">
      <c r="A18" s="6">
        <v>8</v>
      </c>
      <c r="B18" s="7" t="s">
        <v>157</v>
      </c>
      <c r="C18" s="8" t="s">
        <v>11</v>
      </c>
      <c r="D18" s="8" t="s">
        <v>29</v>
      </c>
      <c r="E18" s="8" t="s">
        <v>13</v>
      </c>
      <c r="F18" s="7">
        <v>15</v>
      </c>
      <c r="G18" s="7" t="s">
        <v>158</v>
      </c>
      <c r="H18" s="7" t="s">
        <v>165</v>
      </c>
      <c r="I18" s="7" t="s">
        <v>154</v>
      </c>
      <c r="J18" s="8" t="s">
        <v>52</v>
      </c>
      <c r="K18" s="7" t="s">
        <v>160</v>
      </c>
      <c r="L18" s="8"/>
      <c r="M18" s="7"/>
      <c r="N18" s="8"/>
      <c r="O18" s="7"/>
      <c r="P18" s="8"/>
      <c r="Q18" s="7"/>
      <c r="R18" s="8"/>
      <c r="S18" s="7"/>
      <c r="T18" s="7" t="s">
        <v>169</v>
      </c>
      <c r="U18" s="7" t="s">
        <v>150</v>
      </c>
      <c r="V18" s="8" t="s">
        <v>14</v>
      </c>
      <c r="W18" s="7" t="s">
        <v>35</v>
      </c>
      <c r="X18" s="7" t="s">
        <v>19</v>
      </c>
    </row>
    <row r="19" spans="1:24" ht="39.75" customHeight="1" x14ac:dyDescent="0.25">
      <c r="A19" s="6">
        <v>9</v>
      </c>
      <c r="B19" s="7" t="s">
        <v>157</v>
      </c>
      <c r="C19" s="8" t="s">
        <v>11</v>
      </c>
      <c r="D19" s="8" t="s">
        <v>29</v>
      </c>
      <c r="E19" s="8" t="s">
        <v>13</v>
      </c>
      <c r="F19" s="7">
        <v>15</v>
      </c>
      <c r="G19" s="7" t="s">
        <v>158</v>
      </c>
      <c r="H19" s="7" t="s">
        <v>165</v>
      </c>
      <c r="I19" s="7" t="s">
        <v>154</v>
      </c>
      <c r="J19" s="8" t="s">
        <v>126</v>
      </c>
      <c r="K19" s="7" t="s">
        <v>160</v>
      </c>
      <c r="L19" s="8"/>
      <c r="M19" s="7"/>
      <c r="N19" s="8"/>
      <c r="O19" s="7"/>
      <c r="P19" s="8"/>
      <c r="Q19" s="7"/>
      <c r="R19" s="8"/>
      <c r="S19" s="7"/>
      <c r="T19" s="7" t="s">
        <v>169</v>
      </c>
      <c r="U19" s="7" t="s">
        <v>150</v>
      </c>
      <c r="V19" s="8" t="s">
        <v>14</v>
      </c>
      <c r="W19" s="7" t="s">
        <v>35</v>
      </c>
      <c r="X19" s="7" t="s">
        <v>19</v>
      </c>
    </row>
    <row r="20" spans="1:24" ht="39.75" customHeight="1" x14ac:dyDescent="0.25">
      <c r="A20" s="6">
        <v>10</v>
      </c>
      <c r="B20" s="7" t="s">
        <v>157</v>
      </c>
      <c r="C20" s="8" t="s">
        <v>11</v>
      </c>
      <c r="D20" s="8" t="s">
        <v>29</v>
      </c>
      <c r="E20" s="8" t="s">
        <v>46</v>
      </c>
      <c r="F20" s="7">
        <v>10</v>
      </c>
      <c r="G20" s="7" t="s">
        <v>158</v>
      </c>
      <c r="H20" s="7" t="s">
        <v>165</v>
      </c>
      <c r="I20" s="7" t="s">
        <v>154</v>
      </c>
      <c r="J20" s="8" t="s">
        <v>116</v>
      </c>
      <c r="K20" s="7" t="s">
        <v>161</v>
      </c>
      <c r="L20" s="8"/>
      <c r="M20" s="7"/>
      <c r="N20" s="8"/>
      <c r="O20" s="7"/>
      <c r="P20" s="8"/>
      <c r="Q20" s="7"/>
      <c r="R20" s="8"/>
      <c r="S20" s="7"/>
      <c r="T20" s="7" t="s">
        <v>169</v>
      </c>
      <c r="U20" s="7" t="s">
        <v>150</v>
      </c>
      <c r="V20" s="8" t="s">
        <v>14</v>
      </c>
      <c r="W20" s="7" t="s">
        <v>35</v>
      </c>
      <c r="X20" s="7" t="s">
        <v>19</v>
      </c>
    </row>
    <row r="21" spans="1:24" ht="39.75" customHeight="1" x14ac:dyDescent="0.25">
      <c r="A21" s="6">
        <v>11</v>
      </c>
      <c r="B21" s="7" t="s">
        <v>163</v>
      </c>
      <c r="C21" s="8" t="s">
        <v>11</v>
      </c>
      <c r="D21" s="8" t="s">
        <v>29</v>
      </c>
      <c r="E21" s="8" t="s">
        <v>13</v>
      </c>
      <c r="F21" s="7">
        <v>45</v>
      </c>
      <c r="G21" s="7" t="s">
        <v>47</v>
      </c>
      <c r="H21" s="7" t="s">
        <v>166</v>
      </c>
      <c r="I21" s="7" t="s">
        <v>167</v>
      </c>
      <c r="J21" s="8" t="s">
        <v>125</v>
      </c>
      <c r="K21" s="7" t="s">
        <v>164</v>
      </c>
      <c r="L21" s="8"/>
      <c r="M21" s="7"/>
      <c r="N21" s="8"/>
      <c r="O21" s="7"/>
      <c r="P21" s="8"/>
      <c r="Q21" s="7"/>
      <c r="R21" s="8"/>
      <c r="S21" s="7"/>
      <c r="T21" s="7" t="s">
        <v>168</v>
      </c>
      <c r="U21" s="7" t="s">
        <v>150</v>
      </c>
      <c r="V21" s="8" t="s">
        <v>14</v>
      </c>
      <c r="W21" s="7" t="s">
        <v>43</v>
      </c>
      <c r="X21" s="7" t="s">
        <v>51</v>
      </c>
    </row>
    <row r="22" spans="1:24" ht="39.75" customHeight="1" x14ac:dyDescent="0.25">
      <c r="A22" s="6">
        <v>12</v>
      </c>
      <c r="B22" s="7"/>
      <c r="C22" s="8"/>
      <c r="D22" s="8"/>
      <c r="E22" s="8"/>
      <c r="F22" s="7"/>
      <c r="G22" s="7"/>
      <c r="H22" s="7"/>
      <c r="I22" s="7"/>
      <c r="J22" s="8"/>
      <c r="K22" s="7"/>
      <c r="L22" s="8"/>
      <c r="M22" s="7"/>
      <c r="N22" s="8"/>
      <c r="O22" s="7"/>
      <c r="P22" s="8"/>
      <c r="Q22" s="7"/>
      <c r="R22" s="8"/>
      <c r="S22" s="7"/>
      <c r="T22" s="7"/>
      <c r="U22" s="7"/>
      <c r="V22" s="8"/>
      <c r="W22" s="7"/>
      <c r="X22" s="7"/>
    </row>
    <row r="23" spans="1:24" ht="39.75" customHeight="1" x14ac:dyDescent="0.25">
      <c r="A23" s="6">
        <v>13</v>
      </c>
      <c r="B23" s="7"/>
      <c r="C23" s="8"/>
      <c r="D23" s="8"/>
      <c r="E23" s="8"/>
      <c r="F23" s="7"/>
      <c r="G23" s="7"/>
      <c r="H23" s="7"/>
      <c r="I23" s="7"/>
      <c r="J23" s="8"/>
      <c r="K23" s="7"/>
      <c r="L23" s="8"/>
      <c r="M23" s="7"/>
      <c r="N23" s="8"/>
      <c r="O23" s="7"/>
      <c r="P23" s="8"/>
      <c r="Q23" s="7"/>
      <c r="R23" s="8"/>
      <c r="S23" s="7"/>
      <c r="T23" s="7"/>
      <c r="U23" s="7"/>
      <c r="V23" s="8"/>
      <c r="W23" s="7"/>
      <c r="X23" s="7"/>
    </row>
    <row r="24" spans="1:24" ht="39.75" customHeight="1" x14ac:dyDescent="0.25">
      <c r="A24" s="6">
        <v>14</v>
      </c>
      <c r="B24" s="7"/>
      <c r="C24" s="8"/>
      <c r="D24" s="8"/>
      <c r="E24" s="8"/>
      <c r="F24" s="7"/>
      <c r="G24" s="7"/>
      <c r="H24" s="7"/>
      <c r="I24" s="7"/>
      <c r="J24" s="8"/>
      <c r="K24" s="7"/>
      <c r="L24" s="8"/>
      <c r="M24" s="7"/>
      <c r="N24" s="8"/>
      <c r="O24" s="7"/>
      <c r="P24" s="8"/>
      <c r="Q24" s="7"/>
      <c r="R24" s="8"/>
      <c r="S24" s="7"/>
      <c r="T24" s="7"/>
      <c r="U24" s="7"/>
      <c r="V24" s="8"/>
      <c r="W24" s="7"/>
      <c r="X24" s="7"/>
    </row>
    <row r="25" spans="1:24" ht="39.75" customHeight="1" x14ac:dyDescent="0.25">
      <c r="A25" s="6">
        <v>15</v>
      </c>
      <c r="B25" s="7"/>
      <c r="C25" s="8"/>
      <c r="D25" s="8"/>
      <c r="E25" s="8"/>
      <c r="F25" s="7"/>
      <c r="G25" s="7"/>
      <c r="H25" s="7"/>
      <c r="I25" s="7"/>
      <c r="J25" s="8"/>
      <c r="K25" s="7"/>
      <c r="L25" s="8"/>
      <c r="M25" s="7"/>
      <c r="N25" s="8"/>
      <c r="O25" s="7"/>
      <c r="P25" s="8"/>
      <c r="Q25" s="7"/>
      <c r="R25" s="8"/>
      <c r="S25" s="7"/>
      <c r="T25" s="7"/>
      <c r="U25" s="7"/>
      <c r="V25" s="8"/>
      <c r="W25" s="7"/>
      <c r="X25" s="7"/>
    </row>
    <row r="26" spans="1:24" ht="15.75" customHeight="1" x14ac:dyDescent="0.25"/>
    <row r="27" spans="1:24" ht="15.75" customHeight="1" x14ac:dyDescent="0.25">
      <c r="A27" s="9" t="s">
        <v>103</v>
      </c>
    </row>
    <row r="28" spans="1:24" ht="15.75" customHeight="1" x14ac:dyDescent="0.25">
      <c r="A28" s="10" t="s">
        <v>104</v>
      </c>
      <c r="B28" s="29" t="e">
        <f ca="1">Выпадающий список(ТОЛЬКО из списка)</f>
        <v>#NAME?</v>
      </c>
      <c r="C28" s="30"/>
      <c r="D28" s="30"/>
      <c r="E28" s="30"/>
    </row>
    <row r="29" spans="1:24" ht="15.75" customHeight="1" x14ac:dyDescent="0.25">
      <c r="A29" s="11" t="s">
        <v>105</v>
      </c>
      <c r="B29" s="29" t="e">
        <f>Можно выбрать из списка ИЛИ написать своё</f>
        <v>#NAME?</v>
      </c>
      <c r="C29" s="30"/>
      <c r="D29" s="30"/>
      <c r="E29" s="30"/>
    </row>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8">
    <mergeCell ref="B28:E28"/>
    <mergeCell ref="B29:E29"/>
    <mergeCell ref="A1:X1"/>
    <mergeCell ref="C3:X3"/>
    <mergeCell ref="C4:X4"/>
    <mergeCell ref="C5:X5"/>
    <mergeCell ref="C6:X6"/>
    <mergeCell ref="A8:X8"/>
  </mergeCells>
  <pageMargins left="0.75" right="0.75" top="1" bottom="1" header="0" footer="0"/>
  <pageSetup orientation="landscape" r:id="rId1"/>
  <extLst>
    <ext xmlns:x14="http://schemas.microsoft.com/office/spreadsheetml/2009/9/main" uri="{CCE6A557-97BC-4b89-ADB6-D9C93CAAB3DF}">
      <x14:dataValidations xmlns:xm="http://schemas.microsoft.com/office/excel/2006/main" count="11">
        <x14:dataValidation type="list" allowBlank="1" xr:uid="{00000000-0002-0000-0100-000000000000}">
          <x14:formula1>
            <xm:f>Справочники!$E$2:$E$6</xm:f>
          </x14:formula1>
          <xm:sqref>E11:E25</xm:sqref>
        </x14:dataValidation>
        <x14:dataValidation type="list" allowBlank="1" xr:uid="{00000000-0002-0000-0100-000001000000}">
          <x14:formula1>
            <xm:f>Справочники!$G$2:$G$6</xm:f>
          </x14:formula1>
          <xm:sqref>G11:G25</xm:sqref>
        </x14:dataValidation>
        <x14:dataValidation type="list" allowBlank="1" xr:uid="{00000000-0002-0000-0100-000002000000}">
          <x14:formula1>
            <xm:f>Справочники!$F$2:$F$4</xm:f>
          </x14:formula1>
          <xm:sqref>V11:V25</xm:sqref>
        </x14:dataValidation>
        <x14:dataValidation type="list" allowBlank="1" xr:uid="{00000000-0002-0000-0100-000003000000}">
          <x14:formula1>
            <xm:f>Справочники!$I$2:$I$7</xm:f>
          </x14:formula1>
          <xm:sqref>I11:I25</xm:sqref>
        </x14:dataValidation>
        <x14:dataValidation type="list" allowBlank="1" xr:uid="{00000000-0002-0000-0100-000005000000}">
          <x14:formula1>
            <xm:f>Справочники!$D$2:$D$5</xm:f>
          </x14:formula1>
          <xm:sqref>D11:D25</xm:sqref>
        </x14:dataValidation>
        <x14:dataValidation type="list" allowBlank="1" xr:uid="{00000000-0002-0000-0100-000006000000}">
          <x14:formula1>
            <xm:f>Справочники!$C$2:$C$3</xm:f>
          </x14:formula1>
          <xm:sqref>C11:C25</xm:sqref>
        </x14:dataValidation>
        <x14:dataValidation type="list" allowBlank="1" xr:uid="{00000000-0002-0000-0100-000008000000}">
          <x14:formula1>
            <xm:f>Справочники!$H$2:$H$7</xm:f>
          </x14:formula1>
          <xm:sqref>H11:H25</xm:sqref>
        </x14:dataValidation>
        <x14:dataValidation type="list" allowBlank="1" xr:uid="{00000000-0002-0000-0100-000009000000}">
          <x14:formula1>
            <xm:f>Справочники!$J$2:$J$8</xm:f>
          </x14:formula1>
          <xm:sqref>W11:W25</xm:sqref>
        </x14:dataValidation>
        <x14:dataValidation type="list" allowBlank="1" xr:uid="{00000000-0002-0000-0100-00000A000000}">
          <x14:formula1>
            <xm:f>Справочники!$K$2:$K$7</xm:f>
          </x14:formula1>
          <xm:sqref>X11:X25</xm:sqref>
        </x14:dataValidation>
        <x14:dataValidation type="list" allowBlank="1" xr:uid="{00000000-0002-0000-0100-000004000000}">
          <x14:formula1>
            <xm:f>Справочники!$A$2:$A$13</xm:f>
          </x14:formula1>
          <xm:sqref>C4:X4</xm:sqref>
        </x14:dataValidation>
        <x14:dataValidation type="list" allowBlank="1" xr:uid="{00000000-0002-0000-0100-000007000000}">
          <x14:formula1>
            <xm:f>Справочники!$B$2:$B$44</xm:f>
          </x14:formula1>
          <xm:sqref>C5 R11:R25 P11:P25 N11:N25 J11:J25 L11:L25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Справочники</vt:lpstr>
      <vt:lpstr>ШАБЛОН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Ларин</cp:lastModifiedBy>
  <dcterms:created xsi:type="dcterms:W3CDTF">2025-12-06T19:31:51Z</dcterms:created>
  <dcterms:modified xsi:type="dcterms:W3CDTF">2026-01-26T07:49:59Z</dcterms:modified>
</cp:coreProperties>
</file>