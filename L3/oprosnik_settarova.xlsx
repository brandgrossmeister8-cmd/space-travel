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ineo\OneDrive\Desktop\Новая папка (3)\"/>
    </mc:Choice>
  </mc:AlternateContent>
  <xr:revisionPtr revIDLastSave="0" documentId="13_ncr:1_{B8A489DB-7EF4-42DB-B0B2-00F54DBE793E}" xr6:coauthVersionLast="47" xr6:coauthVersionMax="47" xr10:uidLastSave="{00000000-0000-0000-0000-000000000000}"/>
  <bookViews>
    <workbookView xWindow="28680" yWindow="-120" windowWidth="29040" windowHeight="15720" activeTab="1" xr2:uid="{00000000-000D-0000-FFFF-FFFF00000000}"/>
  </bookViews>
  <sheets>
    <sheet name="Справочники" sheetId="1" r:id="rId1"/>
    <sheet name="ШАБЛОН"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wL3GsrNzf3Ml5vfv6VC+AHKHkiSu3m0ubyksZ1X6ZxM="/>
    </ext>
  </extLst>
</workbook>
</file>

<file path=xl/calcChain.xml><?xml version="1.0" encoding="utf-8"?>
<calcChain xmlns="http://schemas.openxmlformats.org/spreadsheetml/2006/main">
  <c r="B28" i="2" l="1"/>
  <c r="B29" i="2" l="1"/>
</calcChain>
</file>

<file path=xl/sharedStrings.xml><?xml version="1.0" encoding="utf-8"?>
<sst xmlns="http://schemas.openxmlformats.org/spreadsheetml/2006/main" count="326" uniqueCount="198">
  <si>
    <t>ДЕПАРТАМЕНТЫ</t>
  </si>
  <si>
    <t>ОТДЕЛЫ</t>
  </si>
  <si>
    <t>Тип задачи</t>
  </si>
  <si>
    <t>Уровень рутинности</t>
  </si>
  <si>
    <t>Регулярность</t>
  </si>
  <si>
    <t>Приоритет автоматизации</t>
  </si>
  <si>
    <t>Характер задачи (подсказка)</t>
  </si>
  <si>
    <t>Проблема (подсказка)</t>
  </si>
  <si>
    <t>Причина проблемы (подсказка)</t>
  </si>
  <si>
    <t>Ожидаемые результаты (подсказка)</t>
  </si>
  <si>
    <t>Риски (подсказка)</t>
  </si>
  <si>
    <t>Рутинная задача</t>
  </si>
  <si>
    <t>Очень высокий</t>
  </si>
  <si>
    <t>Ежедневно</t>
  </si>
  <si>
    <t>1</t>
  </si>
  <si>
    <t>Ручной ввод данных</t>
  </si>
  <si>
    <t>Не успеваете</t>
  </si>
  <si>
    <t>Нехватка времени</t>
  </si>
  <si>
    <t>Сокращение времени выполнения</t>
  </si>
  <si>
    <t>Снижение качества</t>
  </si>
  <si>
    <t>Проблемная задача</t>
  </si>
  <si>
    <t>Высокий</t>
  </si>
  <si>
    <t>Еженедельно</t>
  </si>
  <si>
    <t>2</t>
  </si>
  <si>
    <t>Обработка текстов</t>
  </si>
  <si>
    <t>Пропускаете</t>
  </si>
  <si>
    <t>Отсутствие информации</t>
  </si>
  <si>
    <t>Снижение количества ошибок</t>
  </si>
  <si>
    <t>Утечка данных</t>
  </si>
  <si>
    <t>Средний</t>
  </si>
  <si>
    <t>Ежемесячно</t>
  </si>
  <si>
    <t>3</t>
  </si>
  <si>
    <t>Обработка изображений</t>
  </si>
  <si>
    <t>Забываете</t>
  </si>
  <si>
    <t>Сложность задачи</t>
  </si>
  <si>
    <t>Освобождение времени для важных задач</t>
  </si>
  <si>
    <t>Сложность настройки</t>
  </si>
  <si>
    <t>Группа визового сопровождения</t>
  </si>
  <si>
    <t>Низкий</t>
  </si>
  <si>
    <t>Ежеквартально</t>
  </si>
  <si>
    <t>Обработка голосовой информации</t>
  </si>
  <si>
    <t>Не дают информацию вовремя</t>
  </si>
  <si>
    <t>Зависимость от других отделов</t>
  </si>
  <si>
    <t>Повышение качества обслуживания клиентов</t>
  </si>
  <si>
    <t>Потеря контроля</t>
  </si>
  <si>
    <t>Отдел бизнес-тревел</t>
  </si>
  <si>
    <t>По запросу</t>
  </si>
  <si>
    <t>Другое</t>
  </si>
  <si>
    <t>Трудно получить информацию</t>
  </si>
  <si>
    <t>Технические проблемы</t>
  </si>
  <si>
    <t>Упрощение коммуникаций</t>
  </si>
  <si>
    <t>Нет рисков</t>
  </si>
  <si>
    <t>Отдел бронирования</t>
  </si>
  <si>
    <t>Снижение стресса</t>
  </si>
  <si>
    <t>Отдел группового бронирования</t>
  </si>
  <si>
    <t>Отдел клиентской поддержки</t>
  </si>
  <si>
    <t>Департамент информационных технологий</t>
  </si>
  <si>
    <t>Отдел контент-маркетинга</t>
  </si>
  <si>
    <t>Отдел маркетинга</t>
  </si>
  <si>
    <t>Администрация</t>
  </si>
  <si>
    <t>Отдел по работе с ключевыми клиентами</t>
  </si>
  <si>
    <t>Отдел рекламы</t>
  </si>
  <si>
    <t>Отдел MICE</t>
  </si>
  <si>
    <t>Офис г. Екатеринбург</t>
  </si>
  <si>
    <t>Офис г. Казань</t>
  </si>
  <si>
    <t>Офис г. Краснодар</t>
  </si>
  <si>
    <t>Офис г. Новосибирск</t>
  </si>
  <si>
    <t>Офис г. Пятигорск</t>
  </si>
  <si>
    <t>Офис г. Самара</t>
  </si>
  <si>
    <t>Офис г. Санкт-Петербург</t>
  </si>
  <si>
    <t>Офис г. Хабаровск</t>
  </si>
  <si>
    <t>Транспортный отдел</t>
  </si>
  <si>
    <t>Чартерная группа</t>
  </si>
  <si>
    <t>Travelluxe (Казахстан)</t>
  </si>
  <si>
    <t>ОПРОСНИК: Анализ задач для автоматизации</t>
  </si>
  <si>
    <t>ФИО:</t>
  </si>
  <si>
    <t>Департамент (список):</t>
  </si>
  <si>
    <t>Отдел (список):</t>
  </si>
  <si>
    <t>Должность (свой текст):</t>
  </si>
  <si>
    <t>ВАШИ ЗАДАЧИ (минимум 5). Голубые = только список, Желтые = свой текст или список</t>
  </si>
  <si>
    <t>№</t>
  </si>
  <si>
    <t>Название
задачи</t>
  </si>
  <si>
    <t>Тип задачи
ТОЛЬКО список</t>
  </si>
  <si>
    <t>Уровень
рутинности
ТОЛЬКО список</t>
  </si>
  <si>
    <t>Регулярность
ТОЛЬКО список</t>
  </si>
  <si>
    <t>Характер
задачи
список+своё</t>
  </si>
  <si>
    <t>Проблема
список+своё</t>
  </si>
  <si>
    <t>Причина
проблемы
список+своё</t>
  </si>
  <si>
    <t>Взаимо-
действие 1
(отдел)</t>
  </si>
  <si>
    <t>Описание
взаимодействия 1</t>
  </si>
  <si>
    <t>Взаимо-
действие 2
(отдел)</t>
  </si>
  <si>
    <t>Описание
взаимодействия 2</t>
  </si>
  <si>
    <t>Взаимо-
действие 3
(отдел)</t>
  </si>
  <si>
    <t>Описание
взаимодействия 3</t>
  </si>
  <si>
    <t>Взаимо-
действие 4
(отдел)</t>
  </si>
  <si>
    <t>Описание
взаимодействия 4</t>
  </si>
  <si>
    <t>Взаимо-
действие 5
(отдел)</t>
  </si>
  <si>
    <t>Описание
взаимодействия 5</t>
  </si>
  <si>
    <t>Внутренние
ресурсы</t>
  </si>
  <si>
    <t>Внешние
ресурсы</t>
  </si>
  <si>
    <t>Приоритет
ТОЛЬКО список</t>
  </si>
  <si>
    <t>Ожидаемые
результаты
список+своё</t>
  </si>
  <si>
    <t>Риски
список+своё</t>
  </si>
  <si>
    <t>ЛЕГЕНДА:</t>
  </si>
  <si>
    <t>🔵 Голубые ячейки</t>
  </si>
  <si>
    <t>🟨 Желтые ячейки</t>
  </si>
  <si>
    <t>Время
(только число!
 только в мин!)</t>
  </si>
  <si>
    <t>глагол + что делаю</t>
  </si>
  <si>
    <t>ТОЛЬКО список</t>
  </si>
  <si>
    <t>Описание логики взаимодействия</t>
  </si>
  <si>
    <r>
      <rPr>
        <b/>
        <sz val="11"/>
        <color rgb="FFFF0000"/>
        <rFont val="Calibri"/>
        <family val="2"/>
        <charset val="204"/>
        <scheme val="minor"/>
      </rPr>
      <t>Только число и только в минутах</t>
    </r>
    <r>
      <rPr>
        <b/>
        <sz val="11"/>
        <color rgb="FF000000"/>
        <rFont val="Calibri"/>
        <family val="2"/>
        <charset val="204"/>
        <scheme val="minor"/>
      </rPr>
      <t xml:space="preserve"> (например: 15, 60, 120 и т.д.)</t>
    </r>
  </si>
  <si>
    <t xml:space="preserve">1-Низкий 
2-Средний 
3-Высокий 
</t>
  </si>
  <si>
    <t>Примеч.</t>
  </si>
  <si>
    <t>Департамент развития взаимоотношений с агентствами</t>
  </si>
  <si>
    <t>Бухгалтерия</t>
  </si>
  <si>
    <t>Департамент по управлению операционными доходами</t>
  </si>
  <si>
    <t>ВИП отдел</t>
  </si>
  <si>
    <t>Департамент въездного туризма, MICE и корпоративного обслуживания</t>
  </si>
  <si>
    <t>Отдел продаж</t>
  </si>
  <si>
    <t xml:space="preserve">Операционный департамент </t>
  </si>
  <si>
    <r>
      <t>Департамент маркетинга и</t>
    </r>
    <r>
      <rPr>
        <sz val="11"/>
        <color rgb="FF000000"/>
        <rFont val="Calibri"/>
        <family val="2"/>
        <charset val="204"/>
      </rPr>
      <t xml:space="preserve"> рекламы</t>
    </r>
  </si>
  <si>
    <t>Отдел круглосуточной работы с клиентами</t>
  </si>
  <si>
    <t>ASM</t>
  </si>
  <si>
    <t>Группа стран «Ближний Восток»</t>
  </si>
  <si>
    <t>Группа стран «Экзотика»</t>
  </si>
  <si>
    <t>Группа стран FIT</t>
  </si>
  <si>
    <t>Группа тарификации</t>
  </si>
  <si>
    <t>Отдел въездного туризма</t>
  </si>
  <si>
    <t>Банковская группа</t>
  </si>
  <si>
    <t>Группа по расчетам с иностранными поставщиками</t>
  </si>
  <si>
    <t>Группа стран «ЮВА»</t>
  </si>
  <si>
    <t>Ведущий менеджер клиентской поддерки в г. Краснодар</t>
  </si>
  <si>
    <t xml:space="preserve">Внутренняя телефония </t>
  </si>
  <si>
    <t xml:space="preserve">Обрабатываю заявления на возвраты и переносы </t>
  </si>
  <si>
    <t>Принимаю входящие звонки</t>
  </si>
  <si>
    <t>Завожу карточки агентов в системе</t>
  </si>
  <si>
    <t>Согласовываю гарантийные письма</t>
  </si>
  <si>
    <t xml:space="preserve">Проверяю договоры </t>
  </si>
  <si>
    <t>Подготавляиваю и оформляю сделки в Битрикс.</t>
  </si>
  <si>
    <t xml:space="preserve">Другое                   Финансовая ответственность </t>
  </si>
  <si>
    <t>Информирую менеджера и согласовании.</t>
  </si>
  <si>
    <t>В случае, неуверенности в согласовании связываюсь с куратором для согласования</t>
  </si>
  <si>
    <t xml:space="preserve">Внутренняя система и регламент </t>
  </si>
  <si>
    <t>Внутренняя система</t>
  </si>
  <si>
    <t>Сокращение времени выполнения                  Автоматическая пролонгация договоров</t>
  </si>
  <si>
    <t xml:space="preserve">Перевожу звонок для консультации по продукту </t>
  </si>
  <si>
    <t xml:space="preserve">Перевожу звонок для консультирования по заявке </t>
  </si>
  <si>
    <t>Перевожу звонок для консультации по визовому сопровождению</t>
  </si>
  <si>
    <t>Перевожу звонок по запросу агента, консультированию по рекламному туру и решению спорных ситуаций.</t>
  </si>
  <si>
    <t>Распределяю сделку согласно регламенту</t>
  </si>
  <si>
    <t>Снижение качества     Агент может долгое время ожидать расчета. Регионы не обрабатывают сделки в выходные дни, нет дежурного в каждом регионе согласно сепарации. В случае, если в выходные дни не дежурит менеджер, который знает направление (например, Танзания) менеджеры отказываются расчитывать данные направления.</t>
  </si>
  <si>
    <t>Снижение качества      Агент может не дозваниваться до специалиста на протяжении долгого времени, получить консультацию в моменте достаточно проблематично.В выходные дни отсутствие специалиста, который может осуществить консультацию по определенному направлению. Трата дополнительного времени на объяснение менеджеру компании почему именно на него переведен звонок. Отказ от консультирования по телефону и просьбы ориентировать на сообщения в заявке.</t>
  </si>
  <si>
    <t>Снижение количества ошибок    Проверка менеджером пропущенных регистрации по своему региону в конце рабочего дня</t>
  </si>
  <si>
    <t>Проверяю заявление по образцу, вношу в инвойс-трекер, направляю в бухгалтерию, отписываюсь агенту о получении заявления</t>
  </si>
  <si>
    <t>Освобождение времени для важных задач                                  Вся коммуникация и взаимодействия по вопросам бухгалтерии осуществляется через отдел клиентской поддерки, а не напрямую между агентом и бухгалтерией</t>
  </si>
  <si>
    <t>Потеря контроля        При получении запросов от бухгалтерии, мы направляем их агенту, после отправки получение ответа нет возможности контролировать.</t>
  </si>
  <si>
    <t xml:space="preserve">Упрощение коммуникаций              В случае, если я не могу согласовать гарантийное письмо, запрос направляется Каму </t>
  </si>
  <si>
    <t>Другое                             Несу финансовую ответсвенность не имея взаимодействия с агентом.</t>
  </si>
  <si>
    <t>Сокращение времени выполнения                   Снижение стресса</t>
  </si>
  <si>
    <t>Отправка полученной информации по заявкам</t>
  </si>
  <si>
    <t>Обрабатываю почтовый ящик sales</t>
  </si>
  <si>
    <t xml:space="preserve">Отправка запросов на расчет </t>
  </si>
  <si>
    <t xml:space="preserve">Отправка запросов на расчет билетов, информационных запросов </t>
  </si>
  <si>
    <t xml:space="preserve">Повышение качества обслуживания клиентов                          </t>
  </si>
  <si>
    <t xml:space="preserve">Потеря контроля          Снижение качества       При отправке запроса по почте в регион, нет возможности отслеживать на кого он был распределен и получил ли агент ответ. </t>
  </si>
  <si>
    <t>Обрабатываю почтовый ящик quality</t>
  </si>
  <si>
    <t>Обработка текстов         Обработка изображений</t>
  </si>
  <si>
    <t xml:space="preserve">Отдел бронирования </t>
  </si>
  <si>
    <t>Отправка полученой претензии</t>
  </si>
  <si>
    <t>Отдел по работе с ключевыми клиентами                     Региональные офисы</t>
  </si>
  <si>
    <t xml:space="preserve">Снижение количества ошибок      </t>
  </si>
  <si>
    <t>Снижение качества   При отправке претензий мы получаем встречные вопросы на которые не можем дать должной консультации не имея юридических знаний. Нет четкого регламента ответов на претензии, в связи с этим мы можем получать дополнительные звонки.</t>
  </si>
  <si>
    <t xml:space="preserve">Обрабатываю чаты и запросы с сайта CRM-формы </t>
  </si>
  <si>
    <t>Согласовываю возможность открытия доступа к оплате без договора.</t>
  </si>
  <si>
    <t xml:space="preserve">Отправляюрегистрационные данные. Регистрация агентов, информирование об этом менеджера </t>
  </si>
  <si>
    <t xml:space="preserve">Отправляю информационные запросы </t>
  </si>
  <si>
    <t>Отправляю полученные запросы</t>
  </si>
  <si>
    <t>Отправляю полученную претензию</t>
  </si>
  <si>
    <t xml:space="preserve">Взаимодействую с коллегами в рабочем чате </t>
  </si>
  <si>
    <t>Получаю запросы на возможность отурытия доступа и пролонгации договоров, согласование ГП</t>
  </si>
  <si>
    <t>Другое                               Ответственный специалист проверяет чат</t>
  </si>
  <si>
    <t>Другое                              Нет возможности в моменте реагировать на запросы, они могут потеряться.</t>
  </si>
  <si>
    <t>Обрабатываю Profi Travel</t>
  </si>
  <si>
    <t>Сайт Profi Travel</t>
  </si>
  <si>
    <t>Мессенджеры</t>
  </si>
  <si>
    <t xml:space="preserve">Сайт ФНС </t>
  </si>
  <si>
    <t xml:space="preserve">Другое                              Обработка данных запросов не усложняет работу </t>
  </si>
  <si>
    <t>Сеттарова</t>
  </si>
  <si>
    <t>Департамент HR</t>
  </si>
  <si>
    <t>Департамент финансов</t>
  </si>
  <si>
    <t>Группа по привлечению агенств</t>
  </si>
  <si>
    <t>Генеральный директор</t>
  </si>
  <si>
    <t>Первый ЗГД</t>
  </si>
  <si>
    <t>Управление клиентского сервиса</t>
  </si>
  <si>
    <t>Управление по развитию региональных офисов</t>
  </si>
  <si>
    <t>нет отделов</t>
  </si>
  <si>
    <t>Бухгалтерия группы компаний</t>
  </si>
  <si>
    <t>Финансовый отдел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</si>
</sst>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charset val="204"/>
      <scheme val="minor"/>
    </font>
    <font>
      <sz val="11"/>
      <color theme="1"/>
      <name val="Calibri"/>
      <family val="2"/>
      <charset val="204"/>
      <scheme val="minor"/>
    </font>
    <font>
      <b/>
      <sz val="11"/>
      <color rgb="FFFFFFFF"/>
      <name val="Calibri"/>
      <scheme val="minor"/>
    </font>
    <font>
      <sz val="11"/>
      <color theme="1"/>
      <name val="Calibri"/>
    </font>
    <font>
      <b/>
      <sz val="14"/>
      <color rgb="FFFFFFFF"/>
      <name val="Calibri"/>
      <scheme val="minor"/>
    </font>
    <font>
      <sz val="11"/>
      <name val="Calibri"/>
    </font>
    <font>
      <sz val="11"/>
      <color theme="1"/>
      <name val="Calibri"/>
      <scheme val="minor"/>
    </font>
    <font>
      <b/>
      <sz val="12"/>
      <color theme="1"/>
      <name val="Calibri"/>
      <scheme val="minor"/>
    </font>
    <font>
      <b/>
      <sz val="14"/>
      <color rgb="FF000000"/>
      <name val="Calibri"/>
      <scheme val="minor"/>
    </font>
    <font>
      <sz val="14"/>
      <color rgb="FF000000"/>
      <name val="Calibri"/>
      <scheme val="minor"/>
    </font>
    <font>
      <b/>
      <sz val="11"/>
      <color theme="1"/>
      <name val="Calibri"/>
      <scheme val="minor"/>
    </font>
    <font>
      <b/>
      <sz val="11"/>
      <color theme="1"/>
      <name val="Calibri"/>
      <family val="2"/>
      <charset val="204"/>
      <scheme val="minor"/>
    </font>
    <font>
      <sz val="11"/>
      <color theme="1"/>
      <name val="Calibri"/>
      <family val="2"/>
      <charset val="204"/>
    </font>
    <font>
      <b/>
      <sz val="11"/>
      <color rgb="FF000000"/>
      <name val="Calibri"/>
      <family val="2"/>
      <charset val="204"/>
      <scheme val="minor"/>
    </font>
    <font>
      <b/>
      <sz val="11"/>
      <color rgb="FFFF0000"/>
      <name val="Calibri"/>
      <family val="2"/>
      <charset val="204"/>
      <scheme val="minor"/>
    </font>
    <font>
      <sz val="11"/>
      <color rgb="FF000000"/>
      <name val="Calibri"/>
      <family val="2"/>
      <charset val="204"/>
      <scheme val="minor"/>
    </font>
    <font>
      <sz val="10"/>
      <color theme="1"/>
      <name val="Times New Roman"/>
      <family val="1"/>
      <charset val="204"/>
    </font>
    <font>
      <sz val="11"/>
      <color rgb="FF000000"/>
      <name val="Calibri"/>
      <family val="2"/>
      <charset val="204"/>
    </font>
    <font>
      <sz val="11"/>
      <color rgb="FF18181B"/>
      <name val="Calibri"/>
      <family val="2"/>
      <charset val="204"/>
      <scheme val="minor"/>
    </font>
  </fonts>
  <fills count="8">
    <fill>
      <patternFill patternType="none"/>
    </fill>
    <fill>
      <patternFill patternType="gray125"/>
    </fill>
    <fill>
      <patternFill patternType="solid">
        <fgColor rgb="FF4472C4"/>
        <bgColor rgb="FF4472C4"/>
      </patternFill>
    </fill>
    <fill>
      <patternFill patternType="solid">
        <fgColor rgb="FFFFF2CC"/>
        <bgColor rgb="FFFFF2CC"/>
      </patternFill>
    </fill>
    <fill>
      <patternFill patternType="solid">
        <fgColor rgb="FFDDEBF7"/>
        <bgColor rgb="FFDDEBF7"/>
      </patternFill>
    </fill>
    <fill>
      <patternFill patternType="solid">
        <fgColor rgb="FF5B9BD5"/>
        <bgColor rgb="FF5B9BD5"/>
      </patternFill>
    </fill>
    <fill>
      <patternFill patternType="solid">
        <fgColor theme="0"/>
        <bgColor rgb="FF5B9BD5"/>
      </patternFill>
    </fill>
    <fill>
      <patternFill patternType="solid">
        <fgColor theme="0"/>
        <bgColor indexed="64"/>
      </patternFill>
    </fill>
  </fills>
  <borders count="1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8">
    <xf numFmtId="0" fontId="0" fillId="0" borderId="0" xfId="0"/>
    <xf numFmtId="0" fontId="3" fillId="2" borderId="1" xfId="0" applyFont="1" applyFill="1" applyBorder="1"/>
    <xf numFmtId="0" fontId="4" fillId="0" borderId="0" xfId="0" applyFont="1" applyAlignment="1">
      <alignment vertical="top" wrapText="1"/>
    </xf>
    <xf numFmtId="0" fontId="7" fillId="0" borderId="0" xfId="0" applyFont="1"/>
    <xf numFmtId="0" fontId="9" fillId="5" borderId="5" xfId="0" applyFont="1" applyFill="1" applyBorder="1" applyAlignment="1">
      <alignment horizontal="center" vertical="center" wrapText="1"/>
    </xf>
    <xf numFmtId="0" fontId="10" fillId="0" borderId="0" xfId="0" applyFont="1"/>
    <xf numFmtId="0" fontId="4" fillId="0" borderId="5" xfId="0" applyFont="1" applyBorder="1" applyAlignment="1">
      <alignment vertical="top" wrapText="1"/>
    </xf>
    <xf numFmtId="0" fontId="4" fillId="3" borderId="5" xfId="0" applyFont="1" applyFill="1" applyBorder="1" applyAlignment="1">
      <alignment vertical="top" wrapText="1"/>
    </xf>
    <xf numFmtId="0" fontId="4" fillId="4" borderId="5" xfId="0" applyFont="1" applyFill="1" applyBorder="1" applyAlignment="1">
      <alignment vertical="top" wrapText="1"/>
    </xf>
    <xf numFmtId="0" fontId="11" fillId="0" borderId="0" xfId="0" applyFont="1"/>
    <xf numFmtId="0" fontId="4" fillId="4" borderId="1" xfId="0" applyFont="1" applyFill="1" applyBorder="1"/>
    <xf numFmtId="0" fontId="4" fillId="3" borderId="1" xfId="0" applyFont="1" applyFill="1" applyBorder="1"/>
    <xf numFmtId="0" fontId="9" fillId="5" borderId="9" xfId="0" applyFont="1" applyFill="1" applyBorder="1" applyAlignment="1">
      <alignment horizontal="center" vertical="center" wrapText="1"/>
    </xf>
    <xf numFmtId="0" fontId="4" fillId="3" borderId="10" xfId="0" applyFont="1" applyFill="1" applyBorder="1" applyAlignment="1">
      <alignment vertical="top" wrapText="1"/>
    </xf>
    <xf numFmtId="0" fontId="13" fillId="4" borderId="10" xfId="0" applyFont="1" applyFill="1" applyBorder="1" applyAlignment="1">
      <alignment vertical="top" wrapText="1"/>
    </xf>
    <xf numFmtId="0" fontId="4" fillId="4" borderId="10" xfId="0" applyFont="1" applyFill="1" applyBorder="1" applyAlignment="1">
      <alignment vertical="top" wrapText="1"/>
    </xf>
    <xf numFmtId="0" fontId="14" fillId="6" borderId="6" xfId="0" applyFont="1" applyFill="1" applyBorder="1" applyAlignment="1">
      <alignment horizontal="center" vertical="top" wrapText="1"/>
    </xf>
    <xf numFmtId="0" fontId="12" fillId="0" borderId="6" xfId="0" applyFont="1" applyBorder="1" applyAlignment="1">
      <alignment horizontal="center" vertical="top"/>
    </xf>
    <xf numFmtId="0" fontId="14" fillId="6" borderId="7" xfId="0" applyFont="1" applyFill="1" applyBorder="1" applyAlignment="1">
      <alignment horizontal="center" vertical="top" wrapText="1"/>
    </xf>
    <xf numFmtId="0" fontId="14" fillId="6" borderId="8" xfId="0" applyFont="1" applyFill="1" applyBorder="1" applyAlignment="1">
      <alignment horizontal="center" vertical="top" wrapText="1"/>
    </xf>
    <xf numFmtId="0" fontId="14" fillId="6" borderId="5" xfId="0" applyFont="1" applyFill="1" applyBorder="1" applyAlignment="1">
      <alignment horizontal="center" vertical="top" wrapText="1"/>
    </xf>
    <xf numFmtId="0" fontId="12" fillId="0" borderId="0" xfId="0" applyFont="1" applyAlignment="1">
      <alignment horizontal="center" vertical="top" wrapText="1"/>
    </xf>
    <xf numFmtId="0" fontId="16" fillId="7" borderId="0" xfId="0" applyFont="1" applyFill="1" applyAlignment="1">
      <alignment horizontal="center" vertical="top"/>
    </xf>
    <xf numFmtId="0" fontId="2" fillId="7" borderId="0" xfId="0" applyFont="1" applyFill="1" applyAlignment="1">
      <alignment horizontal="center" vertical="top"/>
    </xf>
    <xf numFmtId="0" fontId="18" fillId="0" borderId="0" xfId="0" applyFont="1" applyAlignment="1">
      <alignment vertical="top" wrapText="1"/>
    </xf>
    <xf numFmtId="0" fontId="13" fillId="0" borderId="0" xfId="0" applyFont="1" applyAlignment="1">
      <alignment vertical="top" wrapText="1"/>
    </xf>
    <xf numFmtId="0" fontId="18" fillId="0" borderId="0" xfId="0" applyFont="1" applyAlignment="1">
      <alignment vertical="top"/>
    </xf>
    <xf numFmtId="0" fontId="17" fillId="0" borderId="0" xfId="0" applyFont="1" applyAlignment="1">
      <alignment vertical="top"/>
    </xf>
    <xf numFmtId="0" fontId="1" fillId="0" borderId="0" xfId="0" applyFont="1"/>
    <xf numFmtId="0" fontId="19" fillId="0" borderId="0" xfId="0" applyFont="1"/>
    <xf numFmtId="0" fontId="7" fillId="0" borderId="0" xfId="0" applyFont="1"/>
    <xf numFmtId="0" fontId="0" fillId="0" borderId="0" xfId="0"/>
    <xf numFmtId="0" fontId="5" fillId="2" borderId="2" xfId="0" applyFont="1" applyFill="1" applyBorder="1" applyAlignment="1">
      <alignment horizontal="center" vertical="center"/>
    </xf>
    <xf numFmtId="0" fontId="6" fillId="0" borderId="3" xfId="0" applyFont="1" applyBorder="1"/>
    <xf numFmtId="0" fontId="6" fillId="0" borderId="4" xfId="0" applyFont="1" applyBorder="1"/>
    <xf numFmtId="0" fontId="4" fillId="3" borderId="2" xfId="0" applyFont="1" applyFill="1" applyBorder="1"/>
    <xf numFmtId="0" fontId="4" fillId="4" borderId="2" xfId="0" applyFont="1" applyFill="1" applyBorder="1"/>
    <xf numFmtId="0" fontId="8"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2" workbookViewId="0">
      <selection activeCell="A2" sqref="A2:B43"/>
    </sheetView>
  </sheetViews>
  <sheetFormatPr defaultColWidth="14.42578125" defaultRowHeight="15" customHeight="1" x14ac:dyDescent="0.25"/>
  <cols>
    <col min="1" max="11" width="50" customWidth="1"/>
    <col min="12" max="26" width="8.71093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4" t="s">
        <v>113</v>
      </c>
      <c r="B2" s="24" t="s">
        <v>114</v>
      </c>
      <c r="C2" s="2" t="s">
        <v>11</v>
      </c>
      <c r="D2" s="2" t="s">
        <v>12</v>
      </c>
      <c r="E2" s="2" t="s">
        <v>13</v>
      </c>
      <c r="F2" s="2" t="s">
        <v>14</v>
      </c>
      <c r="G2" s="2" t="s">
        <v>15</v>
      </c>
      <c r="H2" s="2" t="s">
        <v>16</v>
      </c>
      <c r="I2" s="2" t="s">
        <v>17</v>
      </c>
      <c r="J2" s="2" t="s">
        <v>18</v>
      </c>
      <c r="K2" s="2" t="s">
        <v>19</v>
      </c>
    </row>
    <row r="3" spans="1:11" ht="30" x14ac:dyDescent="0.25">
      <c r="A3" s="24" t="s">
        <v>115</v>
      </c>
      <c r="B3" s="24" t="s">
        <v>116</v>
      </c>
      <c r="C3" s="2" t="s">
        <v>20</v>
      </c>
      <c r="D3" s="2" t="s">
        <v>21</v>
      </c>
      <c r="E3" s="2" t="s">
        <v>22</v>
      </c>
      <c r="F3" s="2" t="s">
        <v>23</v>
      </c>
      <c r="G3" s="2" t="s">
        <v>24</v>
      </c>
      <c r="H3" s="2" t="s">
        <v>25</v>
      </c>
      <c r="I3" s="2" t="s">
        <v>26</v>
      </c>
      <c r="J3" s="2" t="s">
        <v>27</v>
      </c>
      <c r="K3" s="2" t="s">
        <v>28</v>
      </c>
    </row>
    <row r="4" spans="1:11" ht="30" x14ac:dyDescent="0.25">
      <c r="A4" s="24" t="s">
        <v>117</v>
      </c>
      <c r="B4" s="24" t="s">
        <v>118</v>
      </c>
      <c r="D4" s="2" t="s">
        <v>29</v>
      </c>
      <c r="E4" s="2" t="s">
        <v>30</v>
      </c>
      <c r="F4" s="2" t="s">
        <v>31</v>
      </c>
      <c r="G4" s="2" t="s">
        <v>32</v>
      </c>
      <c r="H4" s="2" t="s">
        <v>33</v>
      </c>
      <c r="I4" s="2" t="s">
        <v>34</v>
      </c>
      <c r="J4" s="2" t="s">
        <v>35</v>
      </c>
      <c r="K4" s="2" t="s">
        <v>36</v>
      </c>
    </row>
    <row r="5" spans="1:11" x14ac:dyDescent="0.25">
      <c r="A5" s="24" t="s">
        <v>188</v>
      </c>
      <c r="B5" s="24" t="s">
        <v>37</v>
      </c>
      <c r="D5" s="2" t="s">
        <v>38</v>
      </c>
      <c r="E5" s="2" t="s">
        <v>39</v>
      </c>
      <c r="G5" s="2" t="s">
        <v>40</v>
      </c>
      <c r="H5" s="2" t="s">
        <v>41</v>
      </c>
      <c r="I5" s="2" t="s">
        <v>42</v>
      </c>
      <c r="J5" s="2" t="s">
        <v>43</v>
      </c>
      <c r="K5" s="2" t="s">
        <v>44</v>
      </c>
    </row>
    <row r="6" spans="1:11" x14ac:dyDescent="0.25">
      <c r="A6" s="24" t="s">
        <v>119</v>
      </c>
      <c r="B6" s="24" t="s">
        <v>45</v>
      </c>
      <c r="E6" s="2" t="s">
        <v>46</v>
      </c>
      <c r="G6" s="2" t="s">
        <v>47</v>
      </c>
      <c r="H6" s="2" t="s">
        <v>48</v>
      </c>
      <c r="I6" s="2" t="s">
        <v>49</v>
      </c>
      <c r="J6" s="2" t="s">
        <v>50</v>
      </c>
      <c r="K6" s="2" t="s">
        <v>51</v>
      </c>
    </row>
    <row r="7" spans="1:11" x14ac:dyDescent="0.25">
      <c r="A7" s="25" t="s">
        <v>120</v>
      </c>
      <c r="B7" s="24" t="s">
        <v>52</v>
      </c>
      <c r="H7" s="2" t="s">
        <v>47</v>
      </c>
      <c r="I7" s="2" t="s">
        <v>47</v>
      </c>
      <c r="J7" s="2" t="s">
        <v>53</v>
      </c>
      <c r="K7" s="2" t="s">
        <v>47</v>
      </c>
    </row>
    <row r="8" spans="1:11" x14ac:dyDescent="0.25">
      <c r="A8" s="24" t="s">
        <v>56</v>
      </c>
      <c r="B8" s="24" t="s">
        <v>54</v>
      </c>
      <c r="J8" s="2" t="s">
        <v>47</v>
      </c>
    </row>
    <row r="9" spans="1:11" x14ac:dyDescent="0.25">
      <c r="A9" s="24" t="s">
        <v>189</v>
      </c>
      <c r="B9" s="24" t="s">
        <v>55</v>
      </c>
    </row>
    <row r="10" spans="1:11" x14ac:dyDescent="0.25">
      <c r="A10" s="24" t="s">
        <v>59</v>
      </c>
      <c r="B10" s="24" t="s">
        <v>121</v>
      </c>
    </row>
    <row r="11" spans="1:11" x14ac:dyDescent="0.25">
      <c r="A11" s="24" t="s">
        <v>73</v>
      </c>
      <c r="B11" s="24" t="s">
        <v>57</v>
      </c>
    </row>
    <row r="12" spans="1:11" x14ac:dyDescent="0.25">
      <c r="A12" s="24" t="s">
        <v>122</v>
      </c>
      <c r="B12" s="24" t="s">
        <v>58</v>
      </c>
    </row>
    <row r="13" spans="1:11" x14ac:dyDescent="0.25">
      <c r="B13" s="24" t="s">
        <v>60</v>
      </c>
    </row>
    <row r="14" spans="1:11" x14ac:dyDescent="0.25">
      <c r="A14" s="26"/>
      <c r="B14" s="24" t="s">
        <v>123</v>
      </c>
    </row>
    <row r="15" spans="1:11" x14ac:dyDescent="0.25">
      <c r="A15" s="26"/>
      <c r="B15" s="24" t="s">
        <v>124</v>
      </c>
    </row>
    <row r="16" spans="1:11" x14ac:dyDescent="0.25">
      <c r="A16" s="27"/>
      <c r="B16" s="24" t="s">
        <v>125</v>
      </c>
    </row>
    <row r="17" spans="1:2" x14ac:dyDescent="0.25">
      <c r="A17" s="27"/>
      <c r="B17" s="24" t="s">
        <v>126</v>
      </c>
    </row>
    <row r="18" spans="1:2" x14ac:dyDescent="0.25">
      <c r="A18" s="27"/>
      <c r="B18" s="24" t="s">
        <v>61</v>
      </c>
    </row>
    <row r="19" spans="1:2" x14ac:dyDescent="0.25">
      <c r="A19" s="27"/>
      <c r="B19" s="24" t="s">
        <v>62</v>
      </c>
    </row>
    <row r="20" spans="1:2" x14ac:dyDescent="0.25">
      <c r="A20" s="27"/>
      <c r="B20" s="24" t="s">
        <v>63</v>
      </c>
    </row>
    <row r="21" spans="1:2" ht="15.75" customHeight="1" x14ac:dyDescent="0.25">
      <c r="A21" s="27"/>
      <c r="B21" s="24" t="s">
        <v>64</v>
      </c>
    </row>
    <row r="22" spans="1:2" ht="15.75" customHeight="1" x14ac:dyDescent="0.25">
      <c r="A22" s="27"/>
      <c r="B22" s="24" t="s">
        <v>65</v>
      </c>
    </row>
    <row r="23" spans="1:2" ht="15.75" customHeight="1" x14ac:dyDescent="0.25">
      <c r="A23" s="27"/>
      <c r="B23" s="24" t="s">
        <v>66</v>
      </c>
    </row>
    <row r="24" spans="1:2" ht="15.75" customHeight="1" x14ac:dyDescent="0.25">
      <c r="A24" s="27"/>
      <c r="B24" s="24" t="s">
        <v>67</v>
      </c>
    </row>
    <row r="25" spans="1:2" ht="15.75" customHeight="1" x14ac:dyDescent="0.25">
      <c r="A25" s="27"/>
      <c r="B25" s="24" t="s">
        <v>68</v>
      </c>
    </row>
    <row r="26" spans="1:2" ht="15.75" customHeight="1" x14ac:dyDescent="0.25">
      <c r="A26" s="27"/>
      <c r="B26" s="24" t="s">
        <v>69</v>
      </c>
    </row>
    <row r="27" spans="1:2" ht="15.75" customHeight="1" x14ac:dyDescent="0.25">
      <c r="A27" s="27"/>
      <c r="B27" s="24" t="s">
        <v>70</v>
      </c>
    </row>
    <row r="28" spans="1:2" ht="15.75" customHeight="1" x14ac:dyDescent="0.25">
      <c r="A28" s="27"/>
      <c r="B28" s="24" t="s">
        <v>127</v>
      </c>
    </row>
    <row r="29" spans="1:2" ht="15.75" customHeight="1" x14ac:dyDescent="0.25">
      <c r="A29" s="27"/>
      <c r="B29" s="24" t="s">
        <v>71</v>
      </c>
    </row>
    <row r="30" spans="1:2" ht="15.75" customHeight="1" x14ac:dyDescent="0.25">
      <c r="A30" s="27"/>
      <c r="B30" s="24" t="s">
        <v>128</v>
      </c>
    </row>
    <row r="31" spans="1:2" ht="15.75" customHeight="1" x14ac:dyDescent="0.25">
      <c r="A31" s="27"/>
      <c r="B31" s="24" t="s">
        <v>129</v>
      </c>
    </row>
    <row r="32" spans="1:2" ht="15.75" customHeight="1" x14ac:dyDescent="0.25">
      <c r="A32" s="27"/>
      <c r="B32" s="24" t="s">
        <v>72</v>
      </c>
    </row>
    <row r="33" spans="1:2" ht="15.75" customHeight="1" x14ac:dyDescent="0.25">
      <c r="A33" s="27"/>
      <c r="B33" s="24" t="s">
        <v>190</v>
      </c>
    </row>
    <row r="34" spans="1:2" ht="15.75" customHeight="1" x14ac:dyDescent="0.25">
      <c r="A34" s="26"/>
      <c r="B34" s="24" t="s">
        <v>130</v>
      </c>
    </row>
    <row r="35" spans="1:2" ht="15.75" customHeight="1" x14ac:dyDescent="0.25">
      <c r="B35" s="24" t="s">
        <v>191</v>
      </c>
    </row>
    <row r="36" spans="1:2" ht="15.75" customHeight="1" x14ac:dyDescent="0.25">
      <c r="B36" s="24" t="s">
        <v>192</v>
      </c>
    </row>
    <row r="37" spans="1:2" ht="15.75" customHeight="1" x14ac:dyDescent="0.25">
      <c r="B37" s="28" t="s">
        <v>193</v>
      </c>
    </row>
    <row r="38" spans="1:2" ht="15.75" customHeight="1" x14ac:dyDescent="0.25">
      <c r="B38" s="29" t="s">
        <v>194</v>
      </c>
    </row>
    <row r="39" spans="1:2" ht="15.75" customHeight="1" x14ac:dyDescent="0.25">
      <c r="B39" s="24" t="s">
        <v>188</v>
      </c>
    </row>
    <row r="40" spans="1:2" ht="15.75" customHeight="1" x14ac:dyDescent="0.25">
      <c r="B40" s="24" t="s">
        <v>56</v>
      </c>
    </row>
    <row r="41" spans="1:2" ht="15.75" customHeight="1" x14ac:dyDescent="0.25">
      <c r="B41" s="28" t="s">
        <v>195</v>
      </c>
    </row>
    <row r="42" spans="1:2" ht="15.75" customHeight="1" x14ac:dyDescent="0.25">
      <c r="B42" t="s">
        <v>196</v>
      </c>
    </row>
    <row r="43" spans="1:2" ht="15.75" customHeight="1" x14ac:dyDescent="0.25">
      <c r="B43" t="s">
        <v>197</v>
      </c>
    </row>
    <row r="44" spans="1:2" ht="15.75" customHeight="1" x14ac:dyDescent="0.25"/>
    <row r="45" spans="1:2" ht="15.75" customHeight="1" x14ac:dyDescent="0.25"/>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abSelected="1" workbookViewId="0">
      <selection activeCell="J11" activeCellId="5" sqref="C5 R11:R25 P11:P25 N11:N25 L11:L25 J11:J25"/>
    </sheetView>
  </sheetViews>
  <sheetFormatPr defaultColWidth="14.42578125" defaultRowHeight="15" customHeight="1" x14ac:dyDescent="0.25"/>
  <cols>
    <col min="1" max="1" width="10.85546875" customWidth="1"/>
    <col min="2" max="2" width="35" customWidth="1"/>
    <col min="3" max="3" width="28.5703125" customWidth="1"/>
    <col min="4" max="4" width="25.28515625" customWidth="1"/>
    <col min="5" max="5" width="26.42578125" customWidth="1"/>
    <col min="6" max="6" width="26.5703125" customWidth="1"/>
    <col min="7" max="7" width="21.28515625" customWidth="1"/>
    <col min="8" max="9" width="15" customWidth="1"/>
    <col min="10" max="10" width="20" customWidth="1"/>
    <col min="11" max="11" width="25" customWidth="1"/>
    <col min="12" max="12" width="20" customWidth="1"/>
    <col min="13" max="13" width="25" customWidth="1"/>
    <col min="14" max="14" width="20" customWidth="1"/>
    <col min="15" max="15" width="25" customWidth="1"/>
    <col min="16" max="16" width="20" customWidth="1"/>
    <col min="17" max="17" width="25" customWidth="1"/>
    <col min="18" max="18" width="20" customWidth="1"/>
    <col min="19" max="19" width="25" customWidth="1"/>
    <col min="20" max="20" width="25.7109375" customWidth="1"/>
    <col min="21" max="21" width="18" customWidth="1"/>
    <col min="22" max="22" width="19.28515625" customWidth="1"/>
    <col min="23" max="24" width="20" customWidth="1"/>
    <col min="25" max="26" width="8.7109375" customWidth="1"/>
  </cols>
  <sheetData>
    <row r="1" spans="1:26" ht="30" customHeight="1" x14ac:dyDescent="0.25">
      <c r="A1" s="32" t="s">
        <v>74</v>
      </c>
      <c r="B1" s="33"/>
      <c r="C1" s="33"/>
      <c r="D1" s="33"/>
      <c r="E1" s="33"/>
      <c r="F1" s="33"/>
      <c r="G1" s="33"/>
      <c r="H1" s="33"/>
      <c r="I1" s="33"/>
      <c r="J1" s="33"/>
      <c r="K1" s="33"/>
      <c r="L1" s="33"/>
      <c r="M1" s="33"/>
      <c r="N1" s="33"/>
      <c r="O1" s="33"/>
      <c r="P1" s="33"/>
      <c r="Q1" s="33"/>
      <c r="R1" s="33"/>
      <c r="S1" s="33"/>
      <c r="T1" s="33"/>
      <c r="U1" s="33"/>
      <c r="V1" s="33"/>
      <c r="W1" s="33"/>
      <c r="X1" s="34"/>
    </row>
    <row r="3" spans="1:26" x14ac:dyDescent="0.25">
      <c r="B3" s="3" t="s">
        <v>75</v>
      </c>
      <c r="C3" s="35" t="s">
        <v>187</v>
      </c>
      <c r="D3" s="33"/>
      <c r="E3" s="33"/>
      <c r="F3" s="33"/>
      <c r="G3" s="33"/>
      <c r="H3" s="33"/>
      <c r="I3" s="33"/>
      <c r="J3" s="33"/>
      <c r="K3" s="33"/>
      <c r="L3" s="33"/>
      <c r="M3" s="33"/>
      <c r="N3" s="33"/>
      <c r="O3" s="33"/>
      <c r="P3" s="33"/>
      <c r="Q3" s="33"/>
      <c r="R3" s="33"/>
      <c r="S3" s="33"/>
      <c r="T3" s="33"/>
      <c r="U3" s="33"/>
      <c r="V3" s="33"/>
      <c r="W3" s="33"/>
      <c r="X3" s="34"/>
    </row>
    <row r="4" spans="1:26" x14ac:dyDescent="0.25">
      <c r="B4" s="3" t="s">
        <v>76</v>
      </c>
      <c r="C4" s="36" t="s">
        <v>113</v>
      </c>
      <c r="D4" s="33"/>
      <c r="E4" s="33"/>
      <c r="F4" s="33"/>
      <c r="G4" s="33"/>
      <c r="H4" s="33"/>
      <c r="I4" s="33"/>
      <c r="J4" s="33"/>
      <c r="K4" s="33"/>
      <c r="L4" s="33"/>
      <c r="M4" s="33"/>
      <c r="N4" s="33"/>
      <c r="O4" s="33"/>
      <c r="P4" s="33"/>
      <c r="Q4" s="33"/>
      <c r="R4" s="33"/>
      <c r="S4" s="33"/>
      <c r="T4" s="33"/>
      <c r="U4" s="33"/>
      <c r="V4" s="33"/>
      <c r="W4" s="33"/>
      <c r="X4" s="34"/>
    </row>
    <row r="5" spans="1:26" x14ac:dyDescent="0.25">
      <c r="B5" s="3" t="s">
        <v>77</v>
      </c>
      <c r="C5" s="36" t="s">
        <v>55</v>
      </c>
      <c r="D5" s="33"/>
      <c r="E5" s="33"/>
      <c r="F5" s="33"/>
      <c r="G5" s="33"/>
      <c r="H5" s="33"/>
      <c r="I5" s="33"/>
      <c r="J5" s="33"/>
      <c r="K5" s="33"/>
      <c r="L5" s="33"/>
      <c r="M5" s="33"/>
      <c r="N5" s="33"/>
      <c r="O5" s="33"/>
      <c r="P5" s="33"/>
      <c r="Q5" s="33"/>
      <c r="R5" s="33"/>
      <c r="S5" s="33"/>
      <c r="T5" s="33"/>
      <c r="U5" s="33"/>
      <c r="V5" s="33"/>
      <c r="W5" s="33"/>
      <c r="X5" s="34"/>
    </row>
    <row r="6" spans="1:26" x14ac:dyDescent="0.25">
      <c r="B6" s="3" t="s">
        <v>78</v>
      </c>
      <c r="C6" s="35" t="s">
        <v>131</v>
      </c>
      <c r="D6" s="33"/>
      <c r="E6" s="33"/>
      <c r="F6" s="33"/>
      <c r="G6" s="33"/>
      <c r="H6" s="33"/>
      <c r="I6" s="33"/>
      <c r="J6" s="33"/>
      <c r="K6" s="33"/>
      <c r="L6" s="33"/>
      <c r="M6" s="33"/>
      <c r="N6" s="33"/>
      <c r="O6" s="33"/>
      <c r="P6" s="33"/>
      <c r="Q6" s="33"/>
      <c r="R6" s="33"/>
      <c r="S6" s="33"/>
      <c r="T6" s="33"/>
      <c r="U6" s="33"/>
      <c r="V6" s="33"/>
      <c r="W6" s="33"/>
      <c r="X6" s="34"/>
    </row>
    <row r="8" spans="1:26" ht="15.75" x14ac:dyDescent="0.25">
      <c r="A8" s="37" t="s">
        <v>79</v>
      </c>
      <c r="B8" s="31"/>
      <c r="C8" s="31"/>
      <c r="D8" s="31"/>
      <c r="E8" s="31"/>
      <c r="F8" s="31"/>
      <c r="G8" s="31"/>
      <c r="H8" s="31"/>
      <c r="I8" s="31"/>
      <c r="J8" s="31"/>
      <c r="K8" s="31"/>
      <c r="L8" s="31"/>
      <c r="M8" s="31"/>
      <c r="N8" s="31"/>
      <c r="O8" s="31"/>
      <c r="P8" s="31"/>
      <c r="Q8" s="31"/>
      <c r="R8" s="31"/>
      <c r="S8" s="31"/>
      <c r="T8" s="31"/>
      <c r="U8" s="31"/>
      <c r="V8" s="31"/>
      <c r="W8" s="31"/>
      <c r="X8" s="31"/>
    </row>
    <row r="9" spans="1:26" ht="97.15" customHeight="1" x14ac:dyDescent="0.3">
      <c r="A9" s="4" t="s">
        <v>80</v>
      </c>
      <c r="B9" s="12" t="s">
        <v>81</v>
      </c>
      <c r="C9" s="12" t="s">
        <v>82</v>
      </c>
      <c r="D9" s="12" t="s">
        <v>83</v>
      </c>
      <c r="E9" s="12" t="s">
        <v>84</v>
      </c>
      <c r="F9" s="12" t="s">
        <v>106</v>
      </c>
      <c r="G9" s="4" t="s">
        <v>85</v>
      </c>
      <c r="H9" s="4" t="s">
        <v>86</v>
      </c>
      <c r="I9" s="4" t="s">
        <v>87</v>
      </c>
      <c r="J9" s="4" t="s">
        <v>88</v>
      </c>
      <c r="K9" s="4" t="s">
        <v>89</v>
      </c>
      <c r="L9" s="4" t="s">
        <v>90</v>
      </c>
      <c r="M9" s="4" t="s">
        <v>91</v>
      </c>
      <c r="N9" s="4" t="s">
        <v>92</v>
      </c>
      <c r="O9" s="4" t="s">
        <v>93</v>
      </c>
      <c r="P9" s="4" t="s">
        <v>94</v>
      </c>
      <c r="Q9" s="4" t="s">
        <v>95</v>
      </c>
      <c r="R9" s="4" t="s">
        <v>96</v>
      </c>
      <c r="S9" s="4" t="s">
        <v>97</v>
      </c>
      <c r="T9" s="4" t="s">
        <v>98</v>
      </c>
      <c r="U9" s="4" t="s">
        <v>99</v>
      </c>
      <c r="V9" s="4" t="s">
        <v>100</v>
      </c>
      <c r="W9" s="4" t="s">
        <v>101</v>
      </c>
      <c r="X9" s="4" t="s">
        <v>102</v>
      </c>
      <c r="Y9" s="5"/>
      <c r="Z9" s="5"/>
    </row>
    <row r="10" spans="1:26" s="23" customFormat="1" ht="48.6" customHeight="1" x14ac:dyDescent="0.25">
      <c r="A10" s="18" t="s">
        <v>112</v>
      </c>
      <c r="B10" s="16" t="s">
        <v>107</v>
      </c>
      <c r="C10" s="17" t="s">
        <v>108</v>
      </c>
      <c r="D10" s="17" t="s">
        <v>108</v>
      </c>
      <c r="E10" s="17" t="s">
        <v>108</v>
      </c>
      <c r="F10" s="16" t="s">
        <v>110</v>
      </c>
      <c r="G10" s="19"/>
      <c r="H10" s="20"/>
      <c r="I10" s="20"/>
      <c r="J10" s="17" t="s">
        <v>108</v>
      </c>
      <c r="K10" s="21" t="s">
        <v>109</v>
      </c>
      <c r="L10" s="17" t="s">
        <v>108</v>
      </c>
      <c r="M10" s="21" t="s">
        <v>109</v>
      </c>
      <c r="N10" s="17" t="s">
        <v>108</v>
      </c>
      <c r="O10" s="21" t="s">
        <v>109</v>
      </c>
      <c r="P10" s="17" t="s">
        <v>108</v>
      </c>
      <c r="Q10" s="21" t="s">
        <v>109</v>
      </c>
      <c r="R10" s="17" t="s">
        <v>108</v>
      </c>
      <c r="S10" s="21" t="s">
        <v>109</v>
      </c>
      <c r="T10" s="20"/>
      <c r="U10" s="20"/>
      <c r="V10" s="20" t="s">
        <v>111</v>
      </c>
      <c r="W10" s="20"/>
      <c r="X10" s="20"/>
      <c r="Y10" s="22"/>
      <c r="Z10" s="22"/>
    </row>
    <row r="11" spans="1:26" ht="61.5" customHeight="1" x14ac:dyDescent="0.25">
      <c r="A11" s="6">
        <v>1</v>
      </c>
      <c r="B11" s="13" t="s">
        <v>134</v>
      </c>
      <c r="C11" s="14" t="s">
        <v>11</v>
      </c>
      <c r="D11" s="14" t="s">
        <v>12</v>
      </c>
      <c r="E11" s="15" t="s">
        <v>13</v>
      </c>
      <c r="F11" s="7">
        <v>3</v>
      </c>
      <c r="G11" s="7" t="s">
        <v>40</v>
      </c>
      <c r="H11" s="7" t="s">
        <v>48</v>
      </c>
      <c r="I11" s="7" t="s">
        <v>42</v>
      </c>
      <c r="J11" s="8" t="s">
        <v>118</v>
      </c>
      <c r="K11" s="7" t="s">
        <v>145</v>
      </c>
      <c r="L11" s="8" t="s">
        <v>116</v>
      </c>
      <c r="M11" s="7" t="s">
        <v>145</v>
      </c>
      <c r="N11" s="8" t="s">
        <v>52</v>
      </c>
      <c r="O11" s="7" t="s">
        <v>146</v>
      </c>
      <c r="P11" s="8" t="s">
        <v>37</v>
      </c>
      <c r="Q11" s="7" t="s">
        <v>147</v>
      </c>
      <c r="R11" s="8" t="s">
        <v>60</v>
      </c>
      <c r="S11" s="7" t="s">
        <v>148</v>
      </c>
      <c r="T11" s="7" t="s">
        <v>132</v>
      </c>
      <c r="U11" s="7"/>
      <c r="V11" s="8" t="s">
        <v>31</v>
      </c>
      <c r="W11" s="7" t="s">
        <v>158</v>
      </c>
      <c r="X11" s="7" t="s">
        <v>151</v>
      </c>
    </row>
    <row r="12" spans="1:26" ht="39.75" customHeight="1" x14ac:dyDescent="0.25">
      <c r="A12" s="6">
        <v>2</v>
      </c>
      <c r="B12" s="7" t="s">
        <v>138</v>
      </c>
      <c r="C12" s="8" t="s">
        <v>11</v>
      </c>
      <c r="D12" s="8" t="s">
        <v>12</v>
      </c>
      <c r="E12" s="8" t="s">
        <v>13</v>
      </c>
      <c r="F12" s="7">
        <v>5</v>
      </c>
      <c r="G12" s="7" t="s">
        <v>24</v>
      </c>
      <c r="H12" s="7" t="s">
        <v>41</v>
      </c>
      <c r="I12" s="7" t="s">
        <v>42</v>
      </c>
      <c r="J12" s="8" t="s">
        <v>118</v>
      </c>
      <c r="K12" s="7" t="s">
        <v>149</v>
      </c>
      <c r="L12" s="8" t="s">
        <v>116</v>
      </c>
      <c r="M12" s="7" t="s">
        <v>149</v>
      </c>
      <c r="N12" s="8"/>
      <c r="O12" s="7"/>
      <c r="P12" s="8"/>
      <c r="Q12" s="7"/>
      <c r="R12" s="8"/>
      <c r="S12" s="7"/>
      <c r="T12" s="7" t="s">
        <v>143</v>
      </c>
      <c r="U12" s="7"/>
      <c r="V12" s="8" t="s">
        <v>31</v>
      </c>
      <c r="W12" s="7" t="s">
        <v>43</v>
      </c>
      <c r="X12" s="7" t="s">
        <v>150</v>
      </c>
    </row>
    <row r="13" spans="1:26" ht="47.25" customHeight="1" x14ac:dyDescent="0.25">
      <c r="A13" s="6">
        <v>3</v>
      </c>
      <c r="B13" s="7" t="s">
        <v>135</v>
      </c>
      <c r="C13" s="8" t="s">
        <v>11</v>
      </c>
      <c r="D13" s="8" t="s">
        <v>38</v>
      </c>
      <c r="E13" s="8" t="s">
        <v>46</v>
      </c>
      <c r="F13" s="7">
        <v>10</v>
      </c>
      <c r="G13" s="7" t="s">
        <v>15</v>
      </c>
      <c r="H13" s="7" t="s">
        <v>47</v>
      </c>
      <c r="I13" s="7" t="s">
        <v>42</v>
      </c>
      <c r="J13" s="8" t="s">
        <v>60</v>
      </c>
      <c r="K13" s="7" t="s">
        <v>174</v>
      </c>
      <c r="L13" s="8"/>
      <c r="M13" s="7"/>
      <c r="N13" s="8"/>
      <c r="O13" s="7"/>
      <c r="P13" s="8"/>
      <c r="Q13" s="7"/>
      <c r="R13" s="8"/>
      <c r="S13" s="7"/>
      <c r="T13" s="7" t="s">
        <v>143</v>
      </c>
      <c r="U13" s="7" t="s">
        <v>185</v>
      </c>
      <c r="V13" s="8" t="s">
        <v>31</v>
      </c>
      <c r="W13" s="7" t="s">
        <v>152</v>
      </c>
      <c r="X13" s="7" t="s">
        <v>19</v>
      </c>
    </row>
    <row r="14" spans="1:26" ht="39.75" customHeight="1" x14ac:dyDescent="0.25">
      <c r="A14" s="6">
        <v>4</v>
      </c>
      <c r="B14" s="7" t="s">
        <v>133</v>
      </c>
      <c r="C14" s="8" t="s">
        <v>11</v>
      </c>
      <c r="D14" s="8" t="s">
        <v>12</v>
      </c>
      <c r="E14" s="8" t="s">
        <v>13</v>
      </c>
      <c r="F14" s="7">
        <v>5</v>
      </c>
      <c r="G14" s="7" t="s">
        <v>15</v>
      </c>
      <c r="H14" s="7" t="s">
        <v>16</v>
      </c>
      <c r="I14" s="7" t="s">
        <v>17</v>
      </c>
      <c r="J14" s="8" t="s">
        <v>114</v>
      </c>
      <c r="K14" s="7" t="s">
        <v>153</v>
      </c>
      <c r="L14" s="8"/>
      <c r="M14" s="7"/>
      <c r="N14" s="8"/>
      <c r="O14" s="7"/>
      <c r="P14" s="8"/>
      <c r="Q14" s="7"/>
      <c r="R14" s="8"/>
      <c r="S14" s="7"/>
      <c r="T14" s="7" t="s">
        <v>142</v>
      </c>
      <c r="U14" s="7"/>
      <c r="V14" s="8" t="s">
        <v>31</v>
      </c>
      <c r="W14" s="7" t="s">
        <v>154</v>
      </c>
      <c r="X14" s="7" t="s">
        <v>51</v>
      </c>
    </row>
    <row r="15" spans="1:26" ht="39.75" customHeight="1" x14ac:dyDescent="0.25">
      <c r="A15" s="6">
        <v>5</v>
      </c>
      <c r="B15" s="7" t="s">
        <v>136</v>
      </c>
      <c r="C15" s="8" t="s">
        <v>11</v>
      </c>
      <c r="D15" s="8" t="s">
        <v>12</v>
      </c>
      <c r="E15" s="8" t="s">
        <v>13</v>
      </c>
      <c r="F15" s="7">
        <v>5</v>
      </c>
      <c r="G15" s="7" t="s">
        <v>15</v>
      </c>
      <c r="H15" s="7" t="s">
        <v>139</v>
      </c>
      <c r="I15" s="7" t="s">
        <v>34</v>
      </c>
      <c r="J15" s="8" t="s">
        <v>118</v>
      </c>
      <c r="K15" s="7" t="s">
        <v>140</v>
      </c>
      <c r="L15" s="8" t="s">
        <v>52</v>
      </c>
      <c r="M15" s="7" t="s">
        <v>140</v>
      </c>
      <c r="N15" s="8" t="s">
        <v>60</v>
      </c>
      <c r="O15" s="7" t="s">
        <v>141</v>
      </c>
      <c r="P15" s="8"/>
      <c r="Q15" s="7"/>
      <c r="R15" s="8"/>
      <c r="S15" s="7"/>
      <c r="T15" s="7" t="s">
        <v>143</v>
      </c>
      <c r="U15" s="7"/>
      <c r="V15" s="8" t="s">
        <v>31</v>
      </c>
      <c r="W15" s="7" t="s">
        <v>156</v>
      </c>
      <c r="X15" s="7" t="s">
        <v>157</v>
      </c>
    </row>
    <row r="16" spans="1:26" ht="39.75" customHeight="1" x14ac:dyDescent="0.25">
      <c r="A16" s="6">
        <v>6</v>
      </c>
      <c r="B16" s="7" t="s">
        <v>137</v>
      </c>
      <c r="C16" s="8" t="s">
        <v>11</v>
      </c>
      <c r="D16" s="8" t="s">
        <v>12</v>
      </c>
      <c r="E16" s="8" t="s">
        <v>13</v>
      </c>
      <c r="F16" s="7">
        <v>5</v>
      </c>
      <c r="G16" s="7" t="s">
        <v>32</v>
      </c>
      <c r="H16" s="7"/>
      <c r="I16" s="7"/>
      <c r="J16" s="8" t="s">
        <v>60</v>
      </c>
      <c r="K16" s="7" t="s">
        <v>173</v>
      </c>
      <c r="L16" s="8"/>
      <c r="M16" s="7"/>
      <c r="N16" s="8"/>
      <c r="O16" s="7"/>
      <c r="P16" s="8"/>
      <c r="Q16" s="7"/>
      <c r="R16" s="8"/>
      <c r="S16" s="7"/>
      <c r="T16" s="7" t="s">
        <v>143</v>
      </c>
      <c r="U16" s="7" t="s">
        <v>185</v>
      </c>
      <c r="V16" s="8" t="s">
        <v>31</v>
      </c>
      <c r="W16" s="7" t="s">
        <v>144</v>
      </c>
      <c r="X16" s="7" t="s">
        <v>155</v>
      </c>
    </row>
    <row r="17" spans="1:24" ht="39.75" customHeight="1" x14ac:dyDescent="0.25">
      <c r="A17" s="6">
        <v>7</v>
      </c>
      <c r="B17" s="7" t="s">
        <v>160</v>
      </c>
      <c r="C17" s="8" t="s">
        <v>11</v>
      </c>
      <c r="D17" s="8" t="s">
        <v>12</v>
      </c>
      <c r="E17" s="8" t="s">
        <v>13</v>
      </c>
      <c r="F17" s="7">
        <v>3</v>
      </c>
      <c r="G17" s="7" t="s">
        <v>166</v>
      </c>
      <c r="H17" s="7" t="s">
        <v>48</v>
      </c>
      <c r="I17" s="7" t="s">
        <v>42</v>
      </c>
      <c r="J17" s="8" t="s">
        <v>118</v>
      </c>
      <c r="K17" s="7" t="s">
        <v>175</v>
      </c>
      <c r="L17" s="8" t="s">
        <v>52</v>
      </c>
      <c r="M17" s="7" t="s">
        <v>159</v>
      </c>
      <c r="N17" s="8" t="s">
        <v>62</v>
      </c>
      <c r="O17" s="7" t="s">
        <v>161</v>
      </c>
      <c r="P17" s="8" t="s">
        <v>71</v>
      </c>
      <c r="Q17" s="7" t="s">
        <v>162</v>
      </c>
      <c r="R17" s="8"/>
      <c r="S17" s="7"/>
      <c r="T17" s="7" t="s">
        <v>142</v>
      </c>
      <c r="U17" s="7"/>
      <c r="V17" s="8" t="s">
        <v>31</v>
      </c>
      <c r="W17" s="7" t="s">
        <v>163</v>
      </c>
      <c r="X17" s="7" t="s">
        <v>164</v>
      </c>
    </row>
    <row r="18" spans="1:24" ht="39.75" customHeight="1" x14ac:dyDescent="0.25">
      <c r="A18" s="6">
        <v>8</v>
      </c>
      <c r="B18" s="7" t="s">
        <v>165</v>
      </c>
      <c r="C18" s="8" t="s">
        <v>20</v>
      </c>
      <c r="D18" s="8" t="s">
        <v>29</v>
      </c>
      <c r="E18" s="8" t="s">
        <v>22</v>
      </c>
      <c r="F18" s="7">
        <v>10</v>
      </c>
      <c r="G18" s="7" t="s">
        <v>166</v>
      </c>
      <c r="H18" s="7" t="s">
        <v>47</v>
      </c>
      <c r="I18" s="7" t="s">
        <v>34</v>
      </c>
      <c r="J18" s="8" t="s">
        <v>167</v>
      </c>
      <c r="K18" s="7" t="s">
        <v>177</v>
      </c>
      <c r="L18" s="8" t="s">
        <v>169</v>
      </c>
      <c r="M18" s="7" t="s">
        <v>168</v>
      </c>
      <c r="N18" s="8"/>
      <c r="O18" s="7"/>
      <c r="P18" s="8"/>
      <c r="Q18" s="7"/>
      <c r="R18" s="8"/>
      <c r="S18" s="7"/>
      <c r="T18" s="7" t="s">
        <v>142</v>
      </c>
      <c r="U18" s="7"/>
      <c r="V18" s="8" t="s">
        <v>31</v>
      </c>
      <c r="W18" s="7" t="s">
        <v>170</v>
      </c>
      <c r="X18" s="7" t="s">
        <v>171</v>
      </c>
    </row>
    <row r="19" spans="1:24" ht="39.75" customHeight="1" x14ac:dyDescent="0.25">
      <c r="A19" s="6">
        <v>9</v>
      </c>
      <c r="B19" s="7" t="s">
        <v>172</v>
      </c>
      <c r="C19" s="8" t="s">
        <v>11</v>
      </c>
      <c r="D19" s="8" t="s">
        <v>12</v>
      </c>
      <c r="E19" s="8" t="s">
        <v>13</v>
      </c>
      <c r="F19" s="7">
        <v>2</v>
      </c>
      <c r="G19" s="7" t="s">
        <v>166</v>
      </c>
      <c r="H19" s="7"/>
      <c r="I19" s="7"/>
      <c r="J19" s="8" t="s">
        <v>118</v>
      </c>
      <c r="K19" s="7" t="s">
        <v>176</v>
      </c>
      <c r="L19" s="8"/>
      <c r="M19" s="7"/>
      <c r="N19" s="8"/>
      <c r="O19" s="7"/>
      <c r="P19" s="8"/>
      <c r="Q19" s="7"/>
      <c r="R19" s="8"/>
      <c r="S19" s="7"/>
      <c r="T19" s="7"/>
      <c r="U19" s="7"/>
      <c r="V19" s="8" t="s">
        <v>31</v>
      </c>
      <c r="W19" s="7" t="s">
        <v>47</v>
      </c>
      <c r="X19" s="7" t="s">
        <v>51</v>
      </c>
    </row>
    <row r="20" spans="1:24" ht="39.75" customHeight="1" x14ac:dyDescent="0.25">
      <c r="A20" s="6">
        <v>10</v>
      </c>
      <c r="B20" s="7" t="s">
        <v>178</v>
      </c>
      <c r="C20" s="8" t="s">
        <v>11</v>
      </c>
      <c r="D20" s="8" t="s">
        <v>12</v>
      </c>
      <c r="E20" s="8" t="s">
        <v>13</v>
      </c>
      <c r="F20" s="7">
        <v>3</v>
      </c>
      <c r="G20" s="7" t="s">
        <v>24</v>
      </c>
      <c r="H20" s="7" t="s">
        <v>16</v>
      </c>
      <c r="I20" s="7" t="s">
        <v>17</v>
      </c>
      <c r="J20" s="8" t="s">
        <v>118</v>
      </c>
      <c r="K20" s="7" t="s">
        <v>179</v>
      </c>
      <c r="L20" s="8" t="s">
        <v>52</v>
      </c>
      <c r="M20" s="7" t="s">
        <v>179</v>
      </c>
      <c r="N20" s="8"/>
      <c r="O20" s="7"/>
      <c r="P20" s="8"/>
      <c r="Q20" s="7"/>
      <c r="R20" s="8"/>
      <c r="S20" s="7"/>
      <c r="T20" s="7" t="s">
        <v>143</v>
      </c>
      <c r="U20" s="7" t="s">
        <v>184</v>
      </c>
      <c r="V20" s="8" t="s">
        <v>23</v>
      </c>
      <c r="W20" s="7" t="s">
        <v>180</v>
      </c>
      <c r="X20" s="7" t="s">
        <v>181</v>
      </c>
    </row>
    <row r="21" spans="1:24" ht="39.75" customHeight="1" x14ac:dyDescent="0.25">
      <c r="A21" s="6">
        <v>11</v>
      </c>
      <c r="B21" s="7" t="s">
        <v>182</v>
      </c>
      <c r="C21" s="8" t="s">
        <v>11</v>
      </c>
      <c r="D21" s="8" t="s">
        <v>29</v>
      </c>
      <c r="E21" s="8" t="s">
        <v>22</v>
      </c>
      <c r="F21" s="7">
        <v>5</v>
      </c>
      <c r="G21" s="7" t="s">
        <v>24</v>
      </c>
      <c r="H21" s="7" t="s">
        <v>47</v>
      </c>
      <c r="I21" s="7" t="s">
        <v>47</v>
      </c>
      <c r="J21" s="8"/>
      <c r="K21" s="7"/>
      <c r="L21" s="8"/>
      <c r="M21" s="7"/>
      <c r="N21" s="8"/>
      <c r="O21" s="7"/>
      <c r="P21" s="8"/>
      <c r="Q21" s="7"/>
      <c r="R21" s="8"/>
      <c r="S21" s="7"/>
      <c r="T21" s="7" t="s">
        <v>143</v>
      </c>
      <c r="U21" s="7" t="s">
        <v>183</v>
      </c>
      <c r="V21" s="8" t="s">
        <v>23</v>
      </c>
      <c r="W21" s="7" t="s">
        <v>186</v>
      </c>
      <c r="X21" s="7" t="s">
        <v>51</v>
      </c>
    </row>
    <row r="22" spans="1:24" ht="39.75" customHeight="1" x14ac:dyDescent="0.25">
      <c r="A22" s="6">
        <v>12</v>
      </c>
      <c r="B22" s="7"/>
      <c r="C22" s="8"/>
      <c r="D22" s="8"/>
      <c r="E22" s="8"/>
      <c r="F22" s="7"/>
      <c r="G22" s="7"/>
      <c r="H22" s="7"/>
      <c r="I22" s="7"/>
      <c r="J22" s="8"/>
      <c r="K22" s="7"/>
      <c r="L22" s="8"/>
      <c r="M22" s="7"/>
      <c r="N22" s="8"/>
      <c r="O22" s="7"/>
      <c r="P22" s="8"/>
      <c r="Q22" s="7"/>
      <c r="R22" s="8"/>
      <c r="S22" s="7"/>
      <c r="T22" s="7"/>
      <c r="U22" s="7"/>
      <c r="V22" s="8"/>
      <c r="W22" s="7"/>
      <c r="X22" s="7"/>
    </row>
    <row r="23" spans="1:24" ht="39.75" customHeight="1" x14ac:dyDescent="0.25">
      <c r="A23" s="6">
        <v>13</v>
      </c>
      <c r="B23" s="7"/>
      <c r="C23" s="8"/>
      <c r="D23" s="8"/>
      <c r="E23" s="8"/>
      <c r="F23" s="7"/>
      <c r="G23" s="7"/>
      <c r="H23" s="7"/>
      <c r="I23" s="7"/>
      <c r="J23" s="8"/>
      <c r="K23" s="7"/>
      <c r="L23" s="8"/>
      <c r="M23" s="7"/>
      <c r="N23" s="8"/>
      <c r="O23" s="7"/>
      <c r="P23" s="8"/>
      <c r="Q23" s="7"/>
      <c r="R23" s="8"/>
      <c r="S23" s="7"/>
      <c r="T23" s="7"/>
      <c r="U23" s="7"/>
      <c r="V23" s="8"/>
      <c r="W23" s="7"/>
      <c r="X23" s="7"/>
    </row>
    <row r="24" spans="1:24" ht="39.75" customHeight="1" x14ac:dyDescent="0.25">
      <c r="A24" s="6">
        <v>14</v>
      </c>
      <c r="B24" s="7"/>
      <c r="C24" s="8"/>
      <c r="D24" s="8"/>
      <c r="E24" s="8"/>
      <c r="F24" s="7"/>
      <c r="G24" s="7"/>
      <c r="H24" s="7"/>
      <c r="I24" s="7"/>
      <c r="J24" s="8"/>
      <c r="K24" s="7"/>
      <c r="L24" s="8"/>
      <c r="M24" s="7"/>
      <c r="N24" s="8"/>
      <c r="O24" s="7"/>
      <c r="P24" s="8"/>
      <c r="Q24" s="7"/>
      <c r="R24" s="8"/>
      <c r="S24" s="7"/>
      <c r="T24" s="7"/>
      <c r="U24" s="7"/>
      <c r="V24" s="8"/>
      <c r="W24" s="7"/>
      <c r="X24" s="7"/>
    </row>
    <row r="25" spans="1:24" ht="39.75" customHeight="1" x14ac:dyDescent="0.25">
      <c r="A25" s="6">
        <v>15</v>
      </c>
      <c r="B25" s="7"/>
      <c r="C25" s="8"/>
      <c r="D25" s="8"/>
      <c r="E25" s="8"/>
      <c r="F25" s="7"/>
      <c r="G25" s="7"/>
      <c r="H25" s="7"/>
      <c r="I25" s="7"/>
      <c r="J25" s="8"/>
      <c r="K25" s="7"/>
      <c r="L25" s="8"/>
      <c r="M25" s="7"/>
      <c r="N25" s="8"/>
      <c r="O25" s="7"/>
      <c r="P25" s="8"/>
      <c r="Q25" s="7"/>
      <c r="R25" s="8"/>
      <c r="S25" s="7"/>
      <c r="T25" s="7"/>
      <c r="U25" s="7"/>
      <c r="V25" s="8"/>
      <c r="W25" s="7"/>
      <c r="X25" s="7"/>
    </row>
    <row r="26" spans="1:24" ht="15.75" customHeight="1" x14ac:dyDescent="0.25"/>
    <row r="27" spans="1:24" ht="15.75" customHeight="1" x14ac:dyDescent="0.25">
      <c r="A27" s="9" t="s">
        <v>103</v>
      </c>
    </row>
    <row r="28" spans="1:24" ht="15.75" customHeight="1" x14ac:dyDescent="0.25">
      <c r="A28" s="10" t="s">
        <v>104</v>
      </c>
      <c r="B28" s="30" t="e">
        <f ca="1">Выпадающий список(ТОЛЬКО из списка)</f>
        <v>#NAME?</v>
      </c>
      <c r="C28" s="31"/>
      <c r="D28" s="31"/>
      <c r="E28" s="31"/>
    </row>
    <row r="29" spans="1:24" ht="15.75" customHeight="1" x14ac:dyDescent="0.25">
      <c r="A29" s="11" t="s">
        <v>105</v>
      </c>
      <c r="B29" s="30" t="e">
        <f>Можно выбрать из списка ИЛИ написать своё</f>
        <v>#NAME?</v>
      </c>
      <c r="C29" s="31"/>
      <c r="D29" s="31"/>
      <c r="E29" s="31"/>
    </row>
    <row r="30" spans="1:24" ht="15.75" customHeight="1" x14ac:dyDescent="0.25"/>
    <row r="31" spans="1:24" ht="15.75" customHeight="1" x14ac:dyDescent="0.25"/>
    <row r="32" spans="1:2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8">
    <mergeCell ref="B28:E28"/>
    <mergeCell ref="B29:E29"/>
    <mergeCell ref="A1:X1"/>
    <mergeCell ref="C3:X3"/>
    <mergeCell ref="C4:X4"/>
    <mergeCell ref="C5:X5"/>
    <mergeCell ref="C6:X6"/>
    <mergeCell ref="A8:X8"/>
  </mergeCells>
  <pageMargins left="0.75" right="0.75" top="1" bottom="1" header="0" footer="0"/>
  <pageSetup orientation="landscape" r:id="rId1"/>
  <extLst>
    <ext xmlns:x14="http://schemas.microsoft.com/office/spreadsheetml/2009/9/main" uri="{CCE6A557-97BC-4b89-ADB6-D9C93CAAB3DF}">
      <x14:dataValidations xmlns:xm="http://schemas.microsoft.com/office/excel/2006/main" count="11">
        <x14:dataValidation type="list" allowBlank="1" xr:uid="{00000000-0002-0000-0100-000000000000}">
          <x14:formula1>
            <xm:f>Справочники!$E$2:$E$6</xm:f>
          </x14:formula1>
          <xm:sqref>E11:E25</xm:sqref>
        </x14:dataValidation>
        <x14:dataValidation type="list" allowBlank="1" xr:uid="{00000000-0002-0000-0100-000001000000}">
          <x14:formula1>
            <xm:f>Справочники!$G$2:$G$6</xm:f>
          </x14:formula1>
          <xm:sqref>G11:G25</xm:sqref>
        </x14:dataValidation>
        <x14:dataValidation type="list" allowBlank="1" xr:uid="{00000000-0002-0000-0100-000002000000}">
          <x14:formula1>
            <xm:f>Справочники!$F$2:$F$4</xm:f>
          </x14:formula1>
          <xm:sqref>V11:V25</xm:sqref>
        </x14:dataValidation>
        <x14:dataValidation type="list" allowBlank="1" xr:uid="{00000000-0002-0000-0100-000003000000}">
          <x14:formula1>
            <xm:f>Справочники!$I$2:$I$7</xm:f>
          </x14:formula1>
          <xm:sqref>I11:I25</xm:sqref>
        </x14:dataValidation>
        <x14:dataValidation type="list" allowBlank="1" xr:uid="{00000000-0002-0000-0100-000004000000}">
          <x14:formula1>
            <xm:f>Справочники!$A$2:$A$13</xm:f>
          </x14:formula1>
          <xm:sqref>C4</xm:sqref>
        </x14:dataValidation>
        <x14:dataValidation type="list" allowBlank="1" xr:uid="{00000000-0002-0000-0100-000005000000}">
          <x14:formula1>
            <xm:f>Справочники!$D$2:$D$5</xm:f>
          </x14:formula1>
          <xm:sqref>D11:D25</xm:sqref>
        </x14:dataValidation>
        <x14:dataValidation type="list" allowBlank="1" xr:uid="{00000000-0002-0000-0100-000006000000}">
          <x14:formula1>
            <xm:f>Справочники!$C$2:$C$3</xm:f>
          </x14:formula1>
          <xm:sqref>C11:C25</xm:sqref>
        </x14:dataValidation>
        <x14:dataValidation type="list" allowBlank="1" xr:uid="{00000000-0002-0000-0100-000007000000}">
          <x14:formula1>
            <xm:f>Справочники!$B$2:$B$44</xm:f>
          </x14:formula1>
          <xm:sqref>C5 R11:R25 P11:P25 N11:N25 L11:L25 J11:J25</xm:sqref>
        </x14:dataValidation>
        <x14:dataValidation type="list" allowBlank="1" xr:uid="{00000000-0002-0000-0100-000008000000}">
          <x14:formula1>
            <xm:f>Справочники!$H$2:$H$7</xm:f>
          </x14:formula1>
          <xm:sqref>H11:H25</xm:sqref>
        </x14:dataValidation>
        <x14:dataValidation type="list" allowBlank="1" xr:uid="{00000000-0002-0000-0100-000009000000}">
          <x14:formula1>
            <xm:f>Справочники!$J$2:$J$8</xm:f>
          </x14:formula1>
          <xm:sqref>W11:W25</xm:sqref>
        </x14:dataValidation>
        <x14:dataValidation type="list" allowBlank="1" xr:uid="{00000000-0002-0000-0100-00000A000000}">
          <x14:formula1>
            <xm:f>Справочники!$K$2:$K$7</xm:f>
          </x14:formula1>
          <xm:sqref>X11:X25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Справочники</vt:lpstr>
      <vt:lpstr>ШАБЛОН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Александр Ларин</cp:lastModifiedBy>
  <dcterms:created xsi:type="dcterms:W3CDTF">2025-12-06T19:31:51Z</dcterms:created>
  <dcterms:modified xsi:type="dcterms:W3CDTF">2026-01-26T07:55:16Z</dcterms:modified>
</cp:coreProperties>
</file>