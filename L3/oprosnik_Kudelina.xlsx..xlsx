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1AC1F569-FE94-43AE-9922-BD95915F8C2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<sst xmlns="http://schemas.openxmlformats.org/spreadsheetml/2006/main" count="315" uniqueCount="206">
  <si>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</si>
  <si>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</si>
  <si>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</si>
  <si>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</si>
  <si>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</si>
  <si>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</si>
  <si>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</si>
  <si>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</si>
  <si>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</si>
  <si>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</si>
  <si>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</si>
  <si>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</si>
  <si>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</si>
  <si>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</si>
  <si>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</si>
  <si>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</si>
  <si>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</si>
  <si>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</si>
  <si>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</si>
  <si>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</si>
  <si>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</si>
  <si>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</si>
  <si>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</si>
  <si>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</si>
  <si>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</si>
  <si>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</si>
  <si>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</si>
  <si>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</si>
  <si>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</si>
  <si>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</si>
  <si>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</si>
  <si>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</si>
  <si>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</si>
  <si>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</si>
  <si>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</si>
  <si>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</si>
  <si>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</si>
  <si>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</si>
  <si>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</si>
  <si>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</si>
  <si>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</si>
  <si>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</si>
  <si>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</si>
  <si>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</si>
  <si>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</si>
  <si>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</si>
  <si>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</si>
  <si>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</si>
  <si>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</si>
  <si>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</si>
  <si>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</si>
  <si>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</si>
  <si>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</si>
  <si>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</si>
  <si>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</si>
  <si>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</si>
  <si>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</si>
  <si>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</si>
  <si>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</si>
  <si>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</si>
  <si>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</si>
  <si>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</si>
  <si>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</si>
  <si>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</si>
  <si>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</si>
  <si>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</si>
  <si>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</si>
  <si>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</si>
  <si>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</si>
  <si>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</si>
  <si>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</si>
  <si>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</si>
  <si>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</si>
  <si>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</si>
  <si>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</si>
  <si>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</si>
  <si>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</si>
  <si>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</si>
  <si>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</si>
  <si>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</si>
  <si>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</si>
  <si>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</si>
  <si>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</si>
  <si>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</si>
  <si>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</si>
  <si>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</si>
  <si>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</si>
  <si>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</si>
  <si>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</si>
  <si>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</si>
  <si>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</si>
  <si>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</si>
  <si>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</si>
  <si>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</si>
  <si>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</si>
  <si>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</si>
  <si>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</si>
  <si>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</si>
  <si>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</si>
  <si>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</si>
  <si>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</si>
  <si>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</si>
  <si>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</si>
  <si>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</si>
  <si>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</si>
  <si>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</si>
  <si>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</si>
  <si>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</si>
  <si>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</si>
  <si>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</si>
  <si>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</si>
  <si>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</si>
  <si>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</si>
  <si>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</si>
  <si>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</si>
  <si>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</si>
  <si>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</si>
  <si>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</si>
  <si>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</si>
  <si>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</si>
  <si>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</si>
  <si>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</si>
  <si>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</si>
  <si>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</si>
  <si>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</si>
  <si>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</si>
  <si>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</si>
  <si>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</si>
  <si>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</si>
  <si>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</si>
  <si>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</si>
  <si>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Старший менеджер отдела клиентской поддержки</t>
  </si>
  <si>
    <t>Согласовываю ГП</t>
  </si>
  <si>
    <t>Передаю регистрацию региональному куратору. В случае отсутсвия сотрудника на рабочем месте, регистрирую агента самостоятельно</t>
  </si>
  <si>
    <t>Передаю звонок в отдел продаж, если агенту необходима консультация по направлению</t>
  </si>
  <si>
    <t>Передаю звонок менеджеру по заявке, если у агента вопросы по оформленному бронированию</t>
  </si>
  <si>
    <t>Принимаю входящие звонки с целью консультирования клиентов и решения обращений в рамках колл-центра</t>
  </si>
  <si>
    <t>Передаю звонок, если необходима консультация по визам</t>
  </si>
  <si>
    <t>Создаю сделки в CRM Bitrix</t>
  </si>
  <si>
    <t>Регистрирую агентства в САМО-тур, CRM Bitrix</t>
  </si>
  <si>
    <t>Перевод звонка для консультации по отелям из списка ВИП</t>
  </si>
  <si>
    <t>Перевод звонка для помощи агенту в решении спорных вопросов, при обращении с претензией, консультации по рекламному туру, согласовании особых условий оплаты, согласование ГП при отсутствии заявок-гарантов</t>
  </si>
  <si>
    <t xml:space="preserve">Внутренняя телефония </t>
  </si>
  <si>
    <t>САМО-тур, папка на гугл -диске с сохраннеными договорами, реестр договоров</t>
  </si>
  <si>
    <t>САЙТ ФНС</t>
  </si>
  <si>
    <t>Сокращение времени выполнения, автоматизация процесса</t>
  </si>
  <si>
    <t>Согласование открыть доступ к оплате заявки без договора</t>
  </si>
  <si>
    <t>Проверка наличия договора у агента при оплате по заявке по запросу менеджера</t>
  </si>
  <si>
    <t>Обрабатываю письма с почты sales</t>
  </si>
  <si>
    <t>Ручной ввод данных, обработка изображений,обработка текста</t>
  </si>
  <si>
    <t>Передача в работу информационных запросов</t>
  </si>
  <si>
    <t xml:space="preserve">Направляю информацию по конкретной заявке </t>
  </si>
  <si>
    <t>Перенаправляю обработанные заявления на возврат/перенос</t>
  </si>
  <si>
    <t>Передача в работу запросов на рекламный тур, претензий</t>
  </si>
  <si>
    <t>Адресовываю расчеты по авиабилетам</t>
  </si>
  <si>
    <t>Потеря контроля, потеря запросов, нет контроля направлен ли ответ по данному письму.</t>
  </si>
  <si>
    <t>Обработка текстов, ручной ввод данных,обработка изображения</t>
  </si>
  <si>
    <t>Отписываюсь о решении менеджеру отдела продаж по полученному ГП, дублирую информацию в мессенджере МАКС</t>
  </si>
  <si>
    <t>Направляю письмо  о решении менеджеру отдела бронирования по полученному ГП, дублирую информацию в мессенджере МАКС</t>
  </si>
  <si>
    <t>Подключаю специалиста к рассмотрению гарантийного письма в противоречивой ситуации.</t>
  </si>
  <si>
    <t>Потеря контроля ( нет контроля с нашей стороны была ли произведена оплата агентом по ГП), не использует ли агент  заявки-гаранты повторно</t>
  </si>
  <si>
    <t>Ручной ввод данных,обработка изображений и текста</t>
  </si>
  <si>
    <t>Уточнение верности сумм к возврату в случае расхождения с заявлением от агента</t>
  </si>
  <si>
    <t>Обрабатываю возвраты и переносы</t>
  </si>
  <si>
    <t>Уточнение информации при наличии спорных вопросов, полученные по почте заявления вношу в инвойс-трекер , пересылаю письмо в бухгалтерию, отписываюсь агенту о получении</t>
  </si>
  <si>
    <t>Ручной ввод данных,обработка изображений</t>
  </si>
  <si>
    <t>Распределяю сделку, согласно регламенту</t>
  </si>
  <si>
    <t>Распределяю сделку,согласно регламенту</t>
  </si>
  <si>
    <t>Снижение качества. При распределении запроса в выходные дни отсутствуют сотрудники сепарированного  региона и запрос оперативно не обрабатывается.</t>
  </si>
  <si>
    <t>Регистрирую, принимаю и пролонгирую агентские договоры, вношу их в реестр</t>
  </si>
  <si>
    <t>Ручной ввод данных,,обработка изображений</t>
  </si>
  <si>
    <t>Направляю полученные информационные запросы для ответа по почте, потенциальную сделку формирую в Битрикс</t>
  </si>
  <si>
    <t>БИТРИКС, почта</t>
  </si>
  <si>
    <t>Очищаю лиды в конце рабочего дня, которые формируются на сотрудников нашего отдела</t>
  </si>
  <si>
    <t>Закрыть лид, который не был обработан</t>
  </si>
  <si>
    <t>Претензия перенаправляется в работу менеджеру по заявке. Взаимодействие при проверки наличия письма с претензией на почте quality.</t>
  </si>
  <si>
    <t xml:space="preserve">Почта, САМО-тур для проверки менеджера по заявке </t>
  </si>
  <si>
    <t>Передача информации куратору агентства для контроля и решения вопроса</t>
  </si>
  <si>
    <t xml:space="preserve">Обработка текстов, обработка изображений, </t>
  </si>
  <si>
    <t>Нехватка времени, завимость от других сотрудников отдела</t>
  </si>
  <si>
    <t>Обрабатываю почтовый ящик quality, проверяю претензии от туристов и агентов на корректность оформления и передаю в работу</t>
  </si>
  <si>
    <t xml:space="preserve">Снижение количества ошибок </t>
  </si>
  <si>
    <t>САМО- тур,почта, внутренняя телефония</t>
  </si>
  <si>
    <t xml:space="preserve">САМО- тур, инвойс-трекер, почта , внутренняя телефония, </t>
  </si>
  <si>
    <t>САМО-тур</t>
  </si>
  <si>
    <t>Обрабатываю CRM-формы в БИТРИКС, отвечая самостоятельно, или формирую сделки на сотрудников</t>
  </si>
  <si>
    <t xml:space="preserve">Сокращение времени выполнения, упрощение коммуникации, снижения стресса (от агентов может исходить негатив в нашу сторону из-за долгого ожидания ответов менеджеров) </t>
  </si>
  <si>
    <t>Обрабатываю Profi Travel</t>
  </si>
  <si>
    <t>САМО-Тур</t>
  </si>
  <si>
    <t>Сайт PROFI TRAVEL</t>
  </si>
  <si>
    <t>Снижение качества. Наличие сложности передачи звонка специалистам, долгое удержания агента на линии в ожидании ответа менеджера. Негатив со стороны агента, репутационные риски</t>
  </si>
  <si>
    <t>БИТРИКС, почта, реест договоров</t>
  </si>
  <si>
    <t>Снижение качества. Проверка наличия необработанных регистраций в конце дня, регистрация упущенных агентов</t>
  </si>
  <si>
    <t>Пропустить письмо до окончания рабочего из-за загруженнного дня бухгалтерии и не выполнить перенос в день получения заявления</t>
  </si>
  <si>
    <t xml:space="preserve">Сокращение времени выполнения, сокращения количества ошибок, автоматизация процесса переносов, коммуникация агентов напрямую с бухгалтерией </t>
  </si>
  <si>
    <t>Куделина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</si>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</sst>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3" fillId="3" borderId="5" xfId="0" applyFont="1" applyFill="1" applyBorder="1" applyAlignment="1">
      <alignment vertical="top" wrapText="1"/>
    </xf>
    <xf numFmtId="0" fontId="13" fillId="4" borderId="5" xfId="0" applyFont="1" applyFill="1" applyBorder="1" applyAlignment="1">
      <alignment vertical="top" wrapText="1"/>
    </xf>
    <xf numFmtId="0" fontId="1" fillId="0" borderId="0" xfId="0" applyFont="1"/>
    <xf numFmtId="0" fontId="19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4" xfId="0" applyFont="1" applyFill="1" applyBorder="1"/>
    <xf numFmtId="0" fontId="4" fillId="4" borderId="2" xfId="0" applyFont="1" applyFill="1" applyBorder="1"/>
    <xf numFmtId="0" fontId="13" fillId="3" borderId="4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ace.pvt\DFS\Downloads\kudelina.ua\Downloads\oprosnik_Pervanova.xlsx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ace.pvt\DFS\Downloads\kormushkina.an_\Downloads\oprosnik_%20&#1057;&#1077;&#1090;&#1090;&#1072;&#1088;&#1086;&#1074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13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196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197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198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199</v>
      </c>
    </row>
    <row r="36" spans="1:2" ht="15.75" customHeight="1" x14ac:dyDescent="0.25">
      <c r="B36" s="24" t="s">
        <v>200</v>
      </c>
    </row>
    <row r="37" spans="1:2" ht="15.75" customHeight="1" x14ac:dyDescent="0.25">
      <c r="B37" s="30" t="s">
        <v>201</v>
      </c>
    </row>
    <row r="38" spans="1:2" ht="15.75" customHeight="1" x14ac:dyDescent="0.25">
      <c r="B38" s="31" t="s">
        <v>202</v>
      </c>
    </row>
    <row r="39" spans="1:2" ht="15.75" customHeight="1" x14ac:dyDescent="0.25">
      <c r="B39" s="24" t="s">
        <v>196</v>
      </c>
    </row>
    <row r="40" spans="1:2" ht="15.75" customHeight="1" x14ac:dyDescent="0.25">
      <c r="B40" s="24" t="s">
        <v>56</v>
      </c>
    </row>
    <row r="41" spans="1:2" ht="15.75" customHeight="1" x14ac:dyDescent="0.25">
      <c r="B41" s="30" t="s">
        <v>203</v>
      </c>
    </row>
    <row r="42" spans="1:2" ht="15.75" customHeight="1" x14ac:dyDescent="0.25">
      <c r="B42" t="s">
        <v>204</v>
      </c>
    </row>
    <row r="43" spans="1:2" ht="15.75" customHeight="1" x14ac:dyDescent="0.25">
      <c r="B43" t="s">
        <v>205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zoomScale="80" zoomScaleNormal="80" workbookViewId="0">
      <selection activeCell="J15" sqref="J1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4" t="s">
        <v>74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6"/>
    </row>
    <row r="3" spans="1:26" x14ac:dyDescent="0.25">
      <c r="B3" s="3" t="s">
        <v>75</v>
      </c>
      <c r="C3" s="37" t="s">
        <v>195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</row>
    <row r="4" spans="1:26" x14ac:dyDescent="0.25">
      <c r="B4" s="3" t="s">
        <v>76</v>
      </c>
      <c r="C4" s="38" t="s">
        <v>113</v>
      </c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6"/>
    </row>
    <row r="5" spans="1:26" x14ac:dyDescent="0.25">
      <c r="B5" s="3" t="s">
        <v>77</v>
      </c>
      <c r="C5" s="38" t="s">
        <v>55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6"/>
    </row>
    <row r="6" spans="1:26" x14ac:dyDescent="0.25">
      <c r="B6" s="3" t="s">
        <v>78</v>
      </c>
      <c r="C6" s="39" t="s">
        <v>131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</row>
    <row r="8" spans="1:26" ht="15.75" x14ac:dyDescent="0.25">
      <c r="A8" s="40" t="s">
        <v>79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139</v>
      </c>
      <c r="C11" s="14" t="s">
        <v>11</v>
      </c>
      <c r="D11" s="14" t="s">
        <v>38</v>
      </c>
      <c r="E11" s="15" t="s">
        <v>46</v>
      </c>
      <c r="F11" s="13">
        <v>10</v>
      </c>
      <c r="G11" s="7" t="s">
        <v>15</v>
      </c>
      <c r="H11" s="7" t="s">
        <v>47</v>
      </c>
      <c r="I11" s="7" t="s">
        <v>42</v>
      </c>
      <c r="J11" s="8" t="s">
        <v>60</v>
      </c>
      <c r="K11" s="7" t="s">
        <v>133</v>
      </c>
      <c r="L11" s="8"/>
      <c r="M11" s="7"/>
      <c r="N11" s="8"/>
      <c r="O11" s="7"/>
      <c r="P11" s="8"/>
      <c r="Q11" s="7"/>
      <c r="R11" s="8"/>
      <c r="S11" s="7"/>
      <c r="T11" s="28" t="s">
        <v>191</v>
      </c>
      <c r="U11" s="28" t="s">
        <v>144</v>
      </c>
      <c r="V11" s="29">
        <v>1</v>
      </c>
      <c r="W11" s="28" t="s">
        <v>145</v>
      </c>
      <c r="X11" s="28" t="s">
        <v>192</v>
      </c>
    </row>
    <row r="12" spans="1:26" ht="39.75" customHeight="1" x14ac:dyDescent="0.25">
      <c r="A12" s="6">
        <v>2</v>
      </c>
      <c r="B12" s="28" t="s">
        <v>169</v>
      </c>
      <c r="C12" s="8" t="s">
        <v>11</v>
      </c>
      <c r="D12" s="8" t="s">
        <v>21</v>
      </c>
      <c r="E12" s="8" t="s">
        <v>13</v>
      </c>
      <c r="F12" s="7">
        <v>5</v>
      </c>
      <c r="G12" s="7" t="s">
        <v>15</v>
      </c>
      <c r="H12" s="7"/>
      <c r="I12" s="7"/>
      <c r="J12" s="8" t="s">
        <v>60</v>
      </c>
      <c r="K12" s="28" t="s">
        <v>146</v>
      </c>
      <c r="L12" s="8" t="s">
        <v>52</v>
      </c>
      <c r="M12" s="28" t="s">
        <v>147</v>
      </c>
      <c r="N12" s="8"/>
      <c r="O12" s="7"/>
      <c r="P12" s="8"/>
      <c r="Q12" s="7"/>
      <c r="R12" s="8"/>
      <c r="S12" s="7"/>
      <c r="T12" s="28" t="s">
        <v>143</v>
      </c>
      <c r="U12" s="28" t="s">
        <v>144</v>
      </c>
      <c r="V12" s="29">
        <v>3</v>
      </c>
      <c r="W12" s="28" t="s">
        <v>145</v>
      </c>
      <c r="X12" s="28" t="s">
        <v>51</v>
      </c>
    </row>
    <row r="13" spans="1:26" ht="39.75" customHeight="1" x14ac:dyDescent="0.25">
      <c r="A13" s="6">
        <v>3</v>
      </c>
      <c r="B13" s="28" t="s">
        <v>136</v>
      </c>
      <c r="C13" s="8" t="s">
        <v>20</v>
      </c>
      <c r="D13" s="8" t="s">
        <v>12</v>
      </c>
      <c r="E13" s="8" t="s">
        <v>13</v>
      </c>
      <c r="F13" s="7">
        <v>3</v>
      </c>
      <c r="G13" s="7" t="s">
        <v>40</v>
      </c>
      <c r="H13" s="28" t="s">
        <v>48</v>
      </c>
      <c r="I13" s="7" t="s">
        <v>42</v>
      </c>
      <c r="J13" s="8" t="s">
        <v>118</v>
      </c>
      <c r="K13" s="7" t="s">
        <v>134</v>
      </c>
      <c r="L13" s="8" t="s">
        <v>52</v>
      </c>
      <c r="M13" s="7" t="s">
        <v>135</v>
      </c>
      <c r="N13" s="8" t="s">
        <v>37</v>
      </c>
      <c r="O13" s="7" t="s">
        <v>137</v>
      </c>
      <c r="P13" s="8" t="s">
        <v>116</v>
      </c>
      <c r="Q13" s="7" t="s">
        <v>140</v>
      </c>
      <c r="R13" s="8" t="s">
        <v>60</v>
      </c>
      <c r="S13" s="7" t="s">
        <v>141</v>
      </c>
      <c r="T13" s="7" t="s">
        <v>142</v>
      </c>
      <c r="U13" s="7"/>
      <c r="V13" s="8">
        <v>3</v>
      </c>
      <c r="W13" s="7" t="s">
        <v>186</v>
      </c>
      <c r="X13" s="7" t="s">
        <v>190</v>
      </c>
    </row>
    <row r="14" spans="1:26" ht="39.75" customHeight="1" x14ac:dyDescent="0.25">
      <c r="A14" s="6">
        <v>4</v>
      </c>
      <c r="B14" s="7" t="s">
        <v>132</v>
      </c>
      <c r="C14" s="8" t="s">
        <v>11</v>
      </c>
      <c r="D14" s="29" t="s">
        <v>29</v>
      </c>
      <c r="E14" s="29" t="s">
        <v>13</v>
      </c>
      <c r="F14" s="28">
        <v>5</v>
      </c>
      <c r="G14" s="28" t="s">
        <v>156</v>
      </c>
      <c r="H14" s="28"/>
      <c r="I14" s="28"/>
      <c r="J14" s="29" t="s">
        <v>118</v>
      </c>
      <c r="K14" s="28" t="s">
        <v>157</v>
      </c>
      <c r="L14" s="29" t="s">
        <v>52</v>
      </c>
      <c r="M14" s="28" t="s">
        <v>158</v>
      </c>
      <c r="N14" s="29" t="s">
        <v>60</v>
      </c>
      <c r="O14" s="28" t="s">
        <v>159</v>
      </c>
      <c r="P14" s="29"/>
      <c r="Q14" s="28"/>
      <c r="R14" s="29"/>
      <c r="S14" s="28"/>
      <c r="T14" s="28" t="s">
        <v>182</v>
      </c>
      <c r="U14" s="28"/>
      <c r="V14" s="29">
        <v>3</v>
      </c>
      <c r="W14" s="28" t="s">
        <v>50</v>
      </c>
      <c r="X14" s="28" t="s">
        <v>160</v>
      </c>
    </row>
    <row r="15" spans="1:26" ht="39.75" customHeight="1" x14ac:dyDescent="0.25">
      <c r="A15" s="6">
        <v>5</v>
      </c>
      <c r="B15" s="28" t="s">
        <v>163</v>
      </c>
      <c r="C15" s="29" t="s">
        <v>11</v>
      </c>
      <c r="D15" s="29" t="s">
        <v>29</v>
      </c>
      <c r="E15" s="29" t="s">
        <v>13</v>
      </c>
      <c r="F15" s="28">
        <v>5</v>
      </c>
      <c r="G15" s="28" t="s">
        <v>161</v>
      </c>
      <c r="H15" s="28" t="s">
        <v>47</v>
      </c>
      <c r="I15" s="28" t="s">
        <v>42</v>
      </c>
      <c r="J15" s="29" t="s">
        <v>114</v>
      </c>
      <c r="K15" s="28" t="s">
        <v>164</v>
      </c>
      <c r="L15" s="29" t="s">
        <v>118</v>
      </c>
      <c r="M15" s="28" t="s">
        <v>162</v>
      </c>
      <c r="N15" s="29" t="s">
        <v>52</v>
      </c>
      <c r="O15" s="28" t="s">
        <v>162</v>
      </c>
      <c r="P15" s="29"/>
      <c r="Q15" s="28"/>
      <c r="R15" s="29"/>
      <c r="S15" s="28"/>
      <c r="T15" s="28" t="s">
        <v>183</v>
      </c>
      <c r="U15" s="28"/>
      <c r="V15" s="29">
        <v>3</v>
      </c>
      <c r="W15" s="28" t="s">
        <v>194</v>
      </c>
      <c r="X15" s="28" t="s">
        <v>193</v>
      </c>
    </row>
    <row r="16" spans="1:26" ht="39.75" customHeight="1" x14ac:dyDescent="0.25">
      <c r="A16" s="6">
        <v>6</v>
      </c>
      <c r="B16" s="28" t="s">
        <v>180</v>
      </c>
      <c r="C16" s="8" t="s">
        <v>11</v>
      </c>
      <c r="D16" s="8" t="s">
        <v>38</v>
      </c>
      <c r="E16" s="8" t="s">
        <v>46</v>
      </c>
      <c r="F16" s="7">
        <v>3</v>
      </c>
      <c r="G16" s="28" t="s">
        <v>178</v>
      </c>
      <c r="H16" s="7" t="s">
        <v>48</v>
      </c>
      <c r="I16" s="28" t="s">
        <v>34</v>
      </c>
      <c r="J16" s="8" t="s">
        <v>60</v>
      </c>
      <c r="K16" s="28" t="s">
        <v>177</v>
      </c>
      <c r="L16" s="8" t="s">
        <v>52</v>
      </c>
      <c r="M16" s="28" t="s">
        <v>175</v>
      </c>
      <c r="N16" s="8"/>
      <c r="O16" s="7"/>
      <c r="P16" s="8"/>
      <c r="Q16" s="7"/>
      <c r="R16" s="8"/>
      <c r="S16" s="7"/>
      <c r="T16" s="28" t="s">
        <v>176</v>
      </c>
      <c r="U16" s="28"/>
      <c r="V16" s="29">
        <v>2</v>
      </c>
      <c r="W16" s="28" t="s">
        <v>53</v>
      </c>
      <c r="X16" s="28" t="s">
        <v>19</v>
      </c>
    </row>
    <row r="17" spans="1:24" ht="39.75" customHeight="1" x14ac:dyDescent="0.25">
      <c r="A17" s="6">
        <v>7</v>
      </c>
      <c r="B17" s="7" t="s">
        <v>138</v>
      </c>
      <c r="C17" s="29" t="s">
        <v>11</v>
      </c>
      <c r="D17" s="8" t="s">
        <v>21</v>
      </c>
      <c r="E17" s="29" t="s">
        <v>13</v>
      </c>
      <c r="F17" s="28">
        <v>5</v>
      </c>
      <c r="G17" s="28" t="s">
        <v>165</v>
      </c>
      <c r="H17" s="28" t="s">
        <v>41</v>
      </c>
      <c r="I17" s="28" t="s">
        <v>42</v>
      </c>
      <c r="J17" s="29" t="s">
        <v>118</v>
      </c>
      <c r="K17" s="28" t="s">
        <v>166</v>
      </c>
      <c r="L17" s="29" t="s">
        <v>116</v>
      </c>
      <c r="M17" s="28" t="s">
        <v>167</v>
      </c>
      <c r="N17" s="29"/>
      <c r="O17" s="28"/>
      <c r="P17" s="29"/>
      <c r="Q17" s="28"/>
      <c r="R17" s="29"/>
      <c r="S17" s="28"/>
      <c r="T17" s="28" t="s">
        <v>172</v>
      </c>
      <c r="U17" s="28" t="s">
        <v>144</v>
      </c>
      <c r="V17" s="29">
        <v>3</v>
      </c>
      <c r="W17" s="28" t="s">
        <v>43</v>
      </c>
      <c r="X17" s="28" t="s">
        <v>168</v>
      </c>
    </row>
    <row r="18" spans="1:24" ht="39.75" customHeight="1" x14ac:dyDescent="0.25">
      <c r="A18" s="6">
        <v>8</v>
      </c>
      <c r="B18" s="28" t="s">
        <v>148</v>
      </c>
      <c r="C18" s="8" t="s">
        <v>11</v>
      </c>
      <c r="D18" s="8" t="s">
        <v>12</v>
      </c>
      <c r="E18" s="8" t="s">
        <v>13</v>
      </c>
      <c r="F18" s="28">
        <v>2</v>
      </c>
      <c r="G18" s="28" t="s">
        <v>149</v>
      </c>
      <c r="H18" s="28" t="s">
        <v>48</v>
      </c>
      <c r="I18" s="28" t="s">
        <v>42</v>
      </c>
      <c r="J18" s="29" t="s">
        <v>118</v>
      </c>
      <c r="K18" s="28" t="s">
        <v>150</v>
      </c>
      <c r="L18" s="29" t="s">
        <v>52</v>
      </c>
      <c r="M18" s="28" t="s">
        <v>151</v>
      </c>
      <c r="N18" s="29" t="s">
        <v>114</v>
      </c>
      <c r="O18" s="28" t="s">
        <v>152</v>
      </c>
      <c r="P18" s="29" t="s">
        <v>60</v>
      </c>
      <c r="Q18" s="28" t="s">
        <v>153</v>
      </c>
      <c r="R18" s="29" t="s">
        <v>71</v>
      </c>
      <c r="S18" s="28" t="s">
        <v>154</v>
      </c>
      <c r="T18" s="28" t="s">
        <v>184</v>
      </c>
      <c r="U18" s="28"/>
      <c r="V18" s="29">
        <v>3</v>
      </c>
      <c r="W18" s="28" t="s">
        <v>18</v>
      </c>
      <c r="X18" s="28" t="s">
        <v>155</v>
      </c>
    </row>
    <row r="19" spans="1:24" ht="39.75" customHeight="1" x14ac:dyDescent="0.25">
      <c r="A19" s="6">
        <v>9</v>
      </c>
      <c r="B19" s="28" t="s">
        <v>185</v>
      </c>
      <c r="C19" s="29" t="s">
        <v>11</v>
      </c>
      <c r="D19" s="29" t="s">
        <v>12</v>
      </c>
      <c r="E19" s="29" t="s">
        <v>13</v>
      </c>
      <c r="F19" s="28">
        <v>5</v>
      </c>
      <c r="G19" s="28" t="s">
        <v>170</v>
      </c>
      <c r="H19" s="28"/>
      <c r="I19" s="28"/>
      <c r="J19" s="29" t="s">
        <v>118</v>
      </c>
      <c r="K19" s="28" t="s">
        <v>171</v>
      </c>
      <c r="L19" s="29"/>
      <c r="M19" s="28"/>
      <c r="N19" s="29"/>
      <c r="O19" s="28"/>
      <c r="P19" s="29"/>
      <c r="Q19" s="28"/>
      <c r="R19" s="29"/>
      <c r="S19" s="28"/>
      <c r="T19" s="28" t="s">
        <v>172</v>
      </c>
      <c r="U19" s="28"/>
      <c r="V19" s="29">
        <v>2</v>
      </c>
      <c r="W19" s="28" t="s">
        <v>50</v>
      </c>
      <c r="X19" s="7" t="s">
        <v>51</v>
      </c>
    </row>
    <row r="20" spans="1:24" ht="39.75" customHeight="1" x14ac:dyDescent="0.25">
      <c r="A20" s="6">
        <v>10</v>
      </c>
      <c r="B20" s="28" t="s">
        <v>173</v>
      </c>
      <c r="C20" s="29" t="s">
        <v>11</v>
      </c>
      <c r="D20" s="29" t="s">
        <v>12</v>
      </c>
      <c r="E20" s="29" t="s">
        <v>13</v>
      </c>
      <c r="F20" s="28">
        <v>5</v>
      </c>
      <c r="G20" s="28" t="s">
        <v>24</v>
      </c>
      <c r="H20" s="28" t="s">
        <v>16</v>
      </c>
      <c r="I20" s="28" t="s">
        <v>179</v>
      </c>
      <c r="J20" s="29"/>
      <c r="K20" s="28"/>
      <c r="L20" s="29"/>
      <c r="M20" s="28"/>
      <c r="N20" s="29"/>
      <c r="O20" s="28"/>
      <c r="P20" s="29"/>
      <c r="Q20" s="28"/>
      <c r="R20" s="29"/>
      <c r="S20" s="28"/>
      <c r="T20" s="28" t="s">
        <v>172</v>
      </c>
      <c r="U20" s="28"/>
      <c r="V20" s="29">
        <v>2</v>
      </c>
      <c r="W20" s="28" t="s">
        <v>181</v>
      </c>
      <c r="X20" s="28" t="s">
        <v>174</v>
      </c>
    </row>
    <row r="21" spans="1:24" ht="39.75" customHeight="1" x14ac:dyDescent="0.25">
      <c r="A21" s="6">
        <v>11</v>
      </c>
      <c r="B21" s="7" t="s">
        <v>187</v>
      </c>
      <c r="C21" s="29" t="s">
        <v>11</v>
      </c>
      <c r="D21" s="8" t="s">
        <v>38</v>
      </c>
      <c r="E21" s="8" t="s">
        <v>46</v>
      </c>
      <c r="F21" s="28">
        <v>10</v>
      </c>
      <c r="G21" s="7" t="s">
        <v>24</v>
      </c>
      <c r="H21" s="28"/>
      <c r="I21" s="28"/>
      <c r="J21" s="29"/>
      <c r="K21" s="28"/>
      <c r="L21" s="29"/>
      <c r="M21" s="28"/>
      <c r="N21" s="29"/>
      <c r="O21" s="28"/>
      <c r="P21" s="29"/>
      <c r="Q21" s="28"/>
      <c r="R21" s="29"/>
      <c r="S21" s="28"/>
      <c r="T21" s="28" t="s">
        <v>188</v>
      </c>
      <c r="U21" s="7" t="s">
        <v>189</v>
      </c>
      <c r="V21" s="29">
        <v>1</v>
      </c>
      <c r="W21" s="7" t="s">
        <v>35</v>
      </c>
      <c r="X21" s="28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2" t="e">
        <f ca="1">Выпадающий список(ТОЛЬКО из списка)</f>
        <v>#NAME?</v>
      </c>
      <c r="C28" s="33"/>
      <c r="D28" s="33"/>
      <c r="E28" s="33"/>
    </row>
    <row r="29" spans="1:24" ht="15.75" customHeight="1" x14ac:dyDescent="0.25">
      <c r="A29" s="11" t="s">
        <v>105</v>
      </c>
      <c r="B29" s="32" t="e">
        <f>Можно выбрать из списка ИЛИ написать своё</f>
        <v>#NAME?</v>
      </c>
      <c r="C29" s="33"/>
      <c r="D29" s="33"/>
      <c r="E29" s="33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xr:uid="{00000000-0002-0000-0100-000000000000}">
          <x14:formula1>
            <xm:f>Справочники!$E$2:$E$6</xm:f>
          </x14:formula1>
          <xm:sqref>E11:E13 E16 E18 E21:E25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G16 G11:G13 G22:G25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V22:V25 V13</xm:sqref>
        </x14:dataValidation>
        <x14:dataValidation type="list" allowBlank="1" xr:uid="{00000000-0002-0000-0100-000003000000}">
          <x14:formula1>
            <xm:f>Справочники!$I$2:$I$7</xm:f>
          </x14:formula1>
          <xm:sqref>I22:I25 I11:I13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D11:D13 D16:D18 D21:D25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C11:C14 C16 C18 C22:C25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R22:R25 P22:P25 N22:N25 L22:L25 N16 P16 R16 J16 L16 P11:P13 N11:N13 L11:L13 J11:J13 R11:R13 J22:J25</xm:sqref>
        </x14:dataValidation>
        <x14:dataValidation type="list" allowBlank="1" xr:uid="{00000000-0002-0000-0100-000008000000}">
          <x14:formula1>
            <xm:f>Справочники!$H$2:$H$7</xm:f>
          </x14:formula1>
          <xm:sqref>H16 H11:H13 H22:H25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W21:W25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X22:X25 X19</xm:sqref>
        </x14:dataValidation>
        <x14:dataValidation type="list" allowBlank="1" xr:uid="{42E2697F-970F-4356-A4D3-1F8FDF21CC9F}">
          <x14:formula1>
            <xm:f>Справочники!$B$2:$B$44</xm:f>
          </x14:formula1>
          <xm:sqref>W11:W16 C15 W18:W20 X20:X21 I14:I21 R17:R21 P17:P21 N17:N21 L17:L21 J17:J18 R14:R15 P14:P15 N14:N15 L14:L15 J14:J15 J20:J21 D19:E20 G14:H15 V11:V12 V14:V21 X11:X18 D14:E15 C19:C21 C17 E17 G17:H21</xm:sqref>
        </x14:dataValidation>
        <x14:dataValidation type="list" allowBlank="1" xr:uid="{CB81B769-5AEB-4E39-B9B1-ABC323F039E0}">
          <x14:formula1>
            <xm:f>'\\space.pvt\DFS\Downloads\kormushkina.an_\Downloads\[oprosnik_ Сеттарова.xlsx]Справочники'!#REF!</xm:f>
          </x14:formula1>
          <xm:sqref>J19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2026-01-26T07:50:56Z</dcterms:modified>
</cp:coreProperties>
</file>