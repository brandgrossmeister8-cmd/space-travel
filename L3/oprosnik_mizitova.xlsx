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lineo\OneDrive\Desktop\Новая папка (3)\"/>
    </mc:Choice>
  </mc:AlternateContent>
  <xr:revisionPtr revIDLastSave="0" documentId="13_ncr:1_{7A02C2F6-BE15-4A5D-A1B1-C24AC5321ED5}" xr6:coauthVersionLast="47" xr6:coauthVersionMax="47" xr10:uidLastSave="{00000000-0000-0000-0000-000000000000}"/>
  <bookViews>
    <workbookView xWindow="28680" yWindow="-120" windowWidth="29040" windowHeight="15720" activeTab="1" xr2:uid="{00000000-000D-0000-FFFF-FFFF00000000}"/>
  </bookViews>
  <sheets>
    <sheet name="Справочники" sheetId="1" r:id="rId1"/>
    <sheet name="ШАБЛОН"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wL3GsrNzf3Ml5vfv6VC+AHKHkiSu3m0ubyksZ1X6ZxM="/>
    </ext>
  </extLst>
</workbook>
</file>

<file path=xl/calcChain.xml><?xml version="1.0" encoding="utf-8"?>
<calcChain xmlns="http://schemas.openxmlformats.org/spreadsheetml/2006/main">
  <c r="B25" i="2" l="1"/>
  <c r="B26" i="2" l="1"/>
</calcChain>
</file>

<file path=xl/sharedStrings.xml><?xml version="1.0" encoding="utf-8"?>
<sst xmlns="http://schemas.openxmlformats.org/spreadsheetml/2006/main" count="375" uniqueCount="174">
  <si>
    <t>ДЕПАРТАМЕНТЫ</t>
  </si>
  <si>
    <t>ОТДЕЛЫ</t>
  </si>
  <si>
    <t>Тип задачи</t>
  </si>
  <si>
    <t>Уровень рутинности</t>
  </si>
  <si>
    <t>Регулярность</t>
  </si>
  <si>
    <t>Приоритет автоматизации</t>
  </si>
  <si>
    <t>Характер задачи (подсказка)</t>
  </si>
  <si>
    <t>Проблема (подсказка)</t>
  </si>
  <si>
    <t>Причина проблемы (подсказка)</t>
  </si>
  <si>
    <t>Ожидаемые результаты (подсказка)</t>
  </si>
  <si>
    <t>Риски (подсказка)</t>
  </si>
  <si>
    <t>Рутинная задача</t>
  </si>
  <si>
    <t>Очень высокий</t>
  </si>
  <si>
    <t>Ежедневно</t>
  </si>
  <si>
    <t>1</t>
  </si>
  <si>
    <t>Ручной ввод данных</t>
  </si>
  <si>
    <t>Не успеваете</t>
  </si>
  <si>
    <t>Нехватка времени</t>
  </si>
  <si>
    <t>Сокращение времени выполнения</t>
  </si>
  <si>
    <t>Снижение качества</t>
  </si>
  <si>
    <t>Проблемная задача</t>
  </si>
  <si>
    <t>Высокий</t>
  </si>
  <si>
    <t>Еженедельно</t>
  </si>
  <si>
    <t>2</t>
  </si>
  <si>
    <t>Обработка текстов</t>
  </si>
  <si>
    <t>Пропускаете</t>
  </si>
  <si>
    <t>Отсутствие информации</t>
  </si>
  <si>
    <t>Снижение количества ошибок</t>
  </si>
  <si>
    <t>Утечка данных</t>
  </si>
  <si>
    <t>Средний</t>
  </si>
  <si>
    <t>Ежемесячно</t>
  </si>
  <si>
    <t>3</t>
  </si>
  <si>
    <t>Обработка изображений</t>
  </si>
  <si>
    <t>Забываете</t>
  </si>
  <si>
    <t>Сложность задачи</t>
  </si>
  <si>
    <t>Освобождение времени для важных задач</t>
  </si>
  <si>
    <t>Сложность настройки</t>
  </si>
  <si>
    <t>Группа визового сопровождения</t>
  </si>
  <si>
    <t>Низкий</t>
  </si>
  <si>
    <t>Ежеквартально</t>
  </si>
  <si>
    <t>Обработка голосовой информации</t>
  </si>
  <si>
    <t>Не дают информацию вовремя</t>
  </si>
  <si>
    <t>Зависимость от других отделов</t>
  </si>
  <si>
    <t>Повышение качества обслуживания клиентов</t>
  </si>
  <si>
    <t>Потеря контроля</t>
  </si>
  <si>
    <t>Отдел бизнес-тревел</t>
  </si>
  <si>
    <t>По запросу</t>
  </si>
  <si>
    <t>Другое</t>
  </si>
  <si>
    <t>Трудно получить информацию</t>
  </si>
  <si>
    <t>Технические проблемы</t>
  </si>
  <si>
    <t>Упрощение коммуникаций</t>
  </si>
  <si>
    <t>Нет рисков</t>
  </si>
  <si>
    <t>Отдел бронирования</t>
  </si>
  <si>
    <t>Снижение стресса</t>
  </si>
  <si>
    <t>Отдел группового бронирования</t>
  </si>
  <si>
    <t>Отдел клиентской поддержки</t>
  </si>
  <si>
    <t>Департамент информационных технологий</t>
  </si>
  <si>
    <t>Отдел контент-маркетинга</t>
  </si>
  <si>
    <t>Отдел маркетинга</t>
  </si>
  <si>
    <t>Администрация</t>
  </si>
  <si>
    <t>Отдел по работе с ключевыми клиентами</t>
  </si>
  <si>
    <t>Отдел рекламы</t>
  </si>
  <si>
    <t>Отдел MICE</t>
  </si>
  <si>
    <t>Офис г. Екатеринбург</t>
  </si>
  <si>
    <t>Офис г. Казань</t>
  </si>
  <si>
    <t>Офис г. Краснодар</t>
  </si>
  <si>
    <t>Офис г. Новосибирск</t>
  </si>
  <si>
    <t>Офис г. Пятигорск</t>
  </si>
  <si>
    <t>Офис г. Самара</t>
  </si>
  <si>
    <t>Офис г. Санкт-Петербург</t>
  </si>
  <si>
    <t>Офис г. Хабаровск</t>
  </si>
  <si>
    <t>Транспортный отдел</t>
  </si>
  <si>
    <t>Чартерная группа</t>
  </si>
  <si>
    <t>Travelluxe (Казахстан)</t>
  </si>
  <si>
    <t>ОПРОСНИК: Анализ задач для автоматизации</t>
  </si>
  <si>
    <t>ФИО:</t>
  </si>
  <si>
    <t>Департамент (список):</t>
  </si>
  <si>
    <t>Отдел (список):</t>
  </si>
  <si>
    <t>Должность (свой текст):</t>
  </si>
  <si>
    <t>ВАШИ ЗАДАЧИ (минимум 5). Голубые = только список, Желтые = свой текст или список</t>
  </si>
  <si>
    <t>№</t>
  </si>
  <si>
    <t>Название
задачи</t>
  </si>
  <si>
    <t>Тип задачи
ТОЛЬКО список</t>
  </si>
  <si>
    <t>Уровень
рутинности
ТОЛЬКО список</t>
  </si>
  <si>
    <t>Регулярность
ТОЛЬКО список</t>
  </si>
  <si>
    <t>Характер
задачи
список+своё</t>
  </si>
  <si>
    <t>Проблема
список+своё</t>
  </si>
  <si>
    <t>Причина
проблемы
список+своё</t>
  </si>
  <si>
    <t>Взаимо-
действие 1
(отдел)</t>
  </si>
  <si>
    <t>Описание
взаимодействия 1</t>
  </si>
  <si>
    <t>Взаимо-
действие 2
(отдел)</t>
  </si>
  <si>
    <t>Описание
взаимодействия 2</t>
  </si>
  <si>
    <t>Взаимо-
действие 3
(отдел)</t>
  </si>
  <si>
    <t>Описание
взаимодействия 3</t>
  </si>
  <si>
    <t>Взаимо-
действие 4
(отдел)</t>
  </si>
  <si>
    <t>Описание
взаимодействия 4</t>
  </si>
  <si>
    <t>Взаимо-
действие 5
(отдел)</t>
  </si>
  <si>
    <t>Описание
взаимодействия 5</t>
  </si>
  <si>
    <t>Внутренние
ресурсы</t>
  </si>
  <si>
    <t>Внешние
ресурсы</t>
  </si>
  <si>
    <t>Приоритет
ТОЛЬКО список</t>
  </si>
  <si>
    <t>Ожидаемые
результаты
список+своё</t>
  </si>
  <si>
    <t>Риски
список+своё</t>
  </si>
  <si>
    <t>ЛЕГЕНДА:</t>
  </si>
  <si>
    <t>🔵 Голубые ячейки</t>
  </si>
  <si>
    <t>🟨 Желтые ячейки</t>
  </si>
  <si>
    <t>Время
(только число!
 только в мин!)</t>
  </si>
  <si>
    <t>глагол + что делаю</t>
  </si>
  <si>
    <t>ТОЛЬКО список</t>
  </si>
  <si>
    <t>Описание логики взаимодействия</t>
  </si>
  <si>
    <r>
      <rPr>
        <b/>
        <sz val="11"/>
        <color rgb="FFFF0000"/>
        <rFont val="Calibri"/>
        <family val="2"/>
        <charset val="204"/>
        <scheme val="minor"/>
      </rPr>
      <t>Только число и только в минутах</t>
    </r>
    <r>
      <rPr>
        <b/>
        <sz val="11"/>
        <color rgb="FF000000"/>
        <rFont val="Calibri"/>
        <family val="2"/>
        <charset val="204"/>
        <scheme val="minor"/>
      </rPr>
      <t xml:space="preserve"> (например: 15, 60, 120 и т.д.)</t>
    </r>
  </si>
  <si>
    <t xml:space="preserve">1-Низкий 
2-Средний 
3-Высокий 
</t>
  </si>
  <si>
    <t>Примеч.</t>
  </si>
  <si>
    <t>Департамент развития взаимоотношений с агентствами</t>
  </si>
  <si>
    <t>Бухгалтерия</t>
  </si>
  <si>
    <t>Департамент по управлению операционными доходами</t>
  </si>
  <si>
    <t>ВИП отдел</t>
  </si>
  <si>
    <t>Департамент въездного туризма, MICE и корпоративного обслуживания</t>
  </si>
  <si>
    <t>Отдел продаж</t>
  </si>
  <si>
    <t xml:space="preserve">Операционный департамент </t>
  </si>
  <si>
    <r>
      <t>Департамент маркетинга и</t>
    </r>
    <r>
      <rPr>
        <sz val="11"/>
        <color rgb="FF000000"/>
        <rFont val="Calibri"/>
        <family val="2"/>
        <charset val="204"/>
      </rPr>
      <t xml:space="preserve"> рекламы</t>
    </r>
  </si>
  <si>
    <t>Финансовый департамент</t>
  </si>
  <si>
    <t>Отдел круглосуточной работы с клиентами</t>
  </si>
  <si>
    <t>ASM</t>
  </si>
  <si>
    <t>Группа стран «Ближний Восток»</t>
  </si>
  <si>
    <t>Группа стран «Экзотика»</t>
  </si>
  <si>
    <t>Группа стран FIT</t>
  </si>
  <si>
    <t>Группа тарификации</t>
  </si>
  <si>
    <t>Отдел въездного туризма</t>
  </si>
  <si>
    <t>Банковская группа</t>
  </si>
  <si>
    <t>Группа по расчетам с иностранными поставщиками</t>
  </si>
  <si>
    <t>Группа стран «ЮВА»</t>
  </si>
  <si>
    <t>Генеральный директор</t>
  </si>
  <si>
    <t>Первый ЗГД</t>
  </si>
  <si>
    <t>Управление клиентского сервиса</t>
  </si>
  <si>
    <t>Управление по развитию региональных офисов</t>
  </si>
  <si>
    <t>нет отделов</t>
  </si>
  <si>
    <t>Финансовый менеджер</t>
  </si>
  <si>
    <t xml:space="preserve">Отдел бронирования, Отдел группового бронирования, группа стран Ближний Восток, группа стран Экзотика, группа стран FIT, группа стран ЮВА, Офис г. Екатеринбург, Офис г. Казань, Офис г. Краснодар, Офис г. Новосибирск, Офис г. Пятигорск, Офис г. Самара, Офис г. Санкт-Петербург, Офис г. Хабаровск, </t>
  </si>
  <si>
    <t>Отбор заявки на оплату</t>
  </si>
  <si>
    <t>Подготовка инвойсов для оплаты</t>
  </si>
  <si>
    <t>Согласование платежей с фин. Директором</t>
  </si>
  <si>
    <t>Заполнение balance payment</t>
  </si>
  <si>
    <t>Сверка данных в само туре и инвойсах</t>
  </si>
  <si>
    <t>Разнесение оплат</t>
  </si>
  <si>
    <t>Отправка свифтов партнёрам</t>
  </si>
  <si>
    <t xml:space="preserve">Заполнение ексель таблицы «Реестр платежей партнерам 2026» </t>
  </si>
  <si>
    <t>нет</t>
  </si>
  <si>
    <t xml:space="preserve">ставим в копию письма об оплате </t>
  </si>
  <si>
    <t>Менеджеры присылают на почту инвойсы, если его нет, запрашиваем. Если данные не совпадают, звоним менеджеру</t>
  </si>
  <si>
    <t>Ручной ввод данных, Обработка текстов, Обработка голосовой информации.</t>
  </si>
  <si>
    <t>Связываемся с менеджерами, если заявка не оплачена во время, а срок оплаты и заезда уже приближается</t>
  </si>
  <si>
    <t>САМО-Тур</t>
  </si>
  <si>
    <t xml:space="preserve">САМО-Тур,почта Outlook,Bitrix. </t>
  </si>
  <si>
    <t>-</t>
  </si>
  <si>
    <t>почта Outlook</t>
  </si>
  <si>
    <t xml:space="preserve">Мессенджеры (WhatsApp, Telegram)Канал коммуникации </t>
  </si>
  <si>
    <t>Сокращение времени выполнения, Снижение количества ошибок</t>
  </si>
  <si>
    <t>Выставление счета в рублях для партнеров Al Khalidiah</t>
  </si>
  <si>
    <t>Выставление счета  (USD, AED, EUR,RUB) для партнеров за Маркетинговые активности</t>
  </si>
  <si>
    <t>пишут нам запрос на выставленение счета</t>
  </si>
  <si>
    <t>почта Outlook, станционарный (рабочий) телефон</t>
  </si>
  <si>
    <t>станционарный (рабочий) телефон</t>
  </si>
  <si>
    <t>Выставление счета в валюте (USD, AED, EUR) для партнеров Space Travel от лица Al Khalidiah</t>
  </si>
  <si>
    <t>Отчеты для банка</t>
  </si>
  <si>
    <t>Обработка текстов, Ручной ввод данных</t>
  </si>
  <si>
    <t>Bitrix</t>
  </si>
  <si>
    <t>Коллега из отдела бухгалтерии, пишет мне о помощи с отчетами для банка Казахстана</t>
  </si>
  <si>
    <t>Мизитова</t>
  </si>
  <si>
    <t>Департамент HR</t>
  </si>
  <si>
    <t>Департамент финансов</t>
  </si>
  <si>
    <t>Группа по привлечению агенств</t>
  </si>
  <si>
    <t>Бухгалтерия группы компаний</t>
  </si>
  <si>
    <t>Финансовый отдел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</si>
</sst>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scheme val="minor"/>
    </font>
    <font>
      <sz val="11"/>
      <color theme="1"/>
      <name val="Calibri"/>
      <family val="2"/>
      <charset val="204"/>
      <scheme val="minor"/>
    </font>
    <font>
      <sz val="11"/>
      <color theme="1"/>
      <name val="Calibri"/>
      <family val="2"/>
      <charset val="204"/>
      <scheme val="minor"/>
    </font>
    <font>
      <b/>
      <sz val="11"/>
      <color rgb="FFFFFFFF"/>
      <name val="Calibri"/>
      <family val="2"/>
      <charset val="204"/>
      <scheme val="minor"/>
    </font>
    <font>
      <sz val="11"/>
      <color theme="1"/>
      <name val="Calibri"/>
      <family val="2"/>
      <charset val="204"/>
    </font>
    <font>
      <b/>
      <sz val="14"/>
      <color rgb="FFFFFFFF"/>
      <name val="Calibri"/>
      <family val="2"/>
      <charset val="204"/>
      <scheme val="minor"/>
    </font>
    <font>
      <sz val="11"/>
      <name val="Calibri"/>
      <family val="2"/>
      <charset val="204"/>
    </font>
    <font>
      <sz val="11"/>
      <color theme="1"/>
      <name val="Calibri"/>
      <family val="2"/>
      <charset val="204"/>
      <scheme val="minor"/>
    </font>
    <font>
      <b/>
      <sz val="12"/>
      <color theme="1"/>
      <name val="Calibri"/>
      <family val="2"/>
      <charset val="204"/>
      <scheme val="minor"/>
    </font>
    <font>
      <b/>
      <sz val="14"/>
      <color rgb="FF000000"/>
      <name val="Calibri"/>
      <family val="2"/>
      <charset val="204"/>
      <scheme val="minor"/>
    </font>
    <font>
      <sz val="14"/>
      <color rgb="FF000000"/>
      <name val="Calibri"/>
      <family val="2"/>
      <charset val="204"/>
      <scheme val="minor"/>
    </font>
    <font>
      <b/>
      <sz val="11"/>
      <color theme="1"/>
      <name val="Calibri"/>
      <family val="2"/>
      <charset val="204"/>
      <scheme val="minor"/>
    </font>
    <font>
      <b/>
      <sz val="11"/>
      <color theme="1"/>
      <name val="Calibri"/>
      <family val="2"/>
      <charset val="204"/>
      <scheme val="minor"/>
    </font>
    <font>
      <b/>
      <sz val="11"/>
      <color rgb="FF000000"/>
      <name val="Calibri"/>
      <family val="2"/>
      <charset val="204"/>
      <scheme val="minor"/>
    </font>
    <font>
      <b/>
      <sz val="11"/>
      <color rgb="FFFF0000"/>
      <name val="Calibri"/>
      <family val="2"/>
      <charset val="204"/>
      <scheme val="minor"/>
    </font>
    <font>
      <sz val="11"/>
      <color rgb="FF000000"/>
      <name val="Calibri"/>
      <family val="2"/>
      <charset val="204"/>
      <scheme val="minor"/>
    </font>
    <font>
      <sz val="10"/>
      <color theme="1"/>
      <name val="Times New Roman"/>
      <family val="1"/>
      <charset val="204"/>
    </font>
    <font>
      <sz val="11"/>
      <color rgb="FF000000"/>
      <name val="Calibri"/>
      <family val="2"/>
      <charset val="204"/>
    </font>
    <font>
      <sz val="11"/>
      <color rgb="FF18181B"/>
      <name val="Calibri"/>
      <family val="2"/>
      <charset val="204"/>
      <scheme val="minor"/>
    </font>
  </fonts>
  <fills count="8">
    <fill>
      <patternFill patternType="none"/>
    </fill>
    <fill>
      <patternFill patternType="gray125"/>
    </fill>
    <fill>
      <patternFill patternType="solid">
        <fgColor rgb="FF4472C4"/>
        <bgColor rgb="FF4472C4"/>
      </patternFill>
    </fill>
    <fill>
      <patternFill patternType="solid">
        <fgColor rgb="FFFFF2CC"/>
        <bgColor rgb="FFFFF2CC"/>
      </patternFill>
    </fill>
    <fill>
      <patternFill patternType="solid">
        <fgColor rgb="FFDDEBF7"/>
        <bgColor rgb="FFDDEBF7"/>
      </patternFill>
    </fill>
    <fill>
      <patternFill patternType="solid">
        <fgColor rgb="FF5B9BD5"/>
        <bgColor rgb="FF5B9BD5"/>
      </patternFill>
    </fill>
    <fill>
      <patternFill patternType="solid">
        <fgColor theme="0"/>
        <bgColor rgb="FF5B9BD5"/>
      </patternFill>
    </fill>
    <fill>
      <patternFill patternType="solid">
        <fgColor theme="0"/>
        <bgColor indexed="64"/>
      </patternFill>
    </fill>
  </fills>
  <borders count="11">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39">
    <xf numFmtId="0" fontId="0" fillId="0" borderId="0" xfId="0"/>
    <xf numFmtId="0" fontId="3" fillId="2" borderId="1" xfId="0" applyFont="1" applyFill="1" applyBorder="1"/>
    <xf numFmtId="0" fontId="4" fillId="0" borderId="0" xfId="0" applyFont="1" applyAlignment="1">
      <alignment vertical="top" wrapText="1"/>
    </xf>
    <xf numFmtId="0" fontId="7" fillId="0" borderId="0" xfId="0" applyFont="1"/>
    <xf numFmtId="0" fontId="9" fillId="5" borderId="5" xfId="0" applyFont="1" applyFill="1" applyBorder="1" applyAlignment="1">
      <alignment horizontal="center" vertical="center" wrapText="1"/>
    </xf>
    <xf numFmtId="0" fontId="10" fillId="0" borderId="0" xfId="0" applyFont="1"/>
    <xf numFmtId="0" fontId="4" fillId="0" borderId="5" xfId="0" applyFont="1" applyBorder="1" applyAlignment="1">
      <alignment vertical="top" wrapText="1"/>
    </xf>
    <xf numFmtId="0" fontId="4" fillId="3" borderId="5" xfId="0" applyFont="1" applyFill="1" applyBorder="1" applyAlignment="1">
      <alignment vertical="top" wrapText="1"/>
    </xf>
    <xf numFmtId="0" fontId="4" fillId="4" borderId="5" xfId="0" applyFont="1" applyFill="1" applyBorder="1" applyAlignment="1">
      <alignment vertical="top" wrapText="1"/>
    </xf>
    <xf numFmtId="0" fontId="11" fillId="0" borderId="0" xfId="0" applyFont="1"/>
    <xf numFmtId="0" fontId="4" fillId="4" borderId="1" xfId="0" applyFont="1" applyFill="1" applyBorder="1"/>
    <xf numFmtId="0" fontId="4" fillId="3" borderId="1" xfId="0" applyFont="1" applyFill="1" applyBorder="1"/>
    <xf numFmtId="0" fontId="9" fillId="5" borderId="9" xfId="0" applyFont="1" applyFill="1" applyBorder="1" applyAlignment="1">
      <alignment horizontal="center" vertical="center" wrapText="1"/>
    </xf>
    <xf numFmtId="0" fontId="4" fillId="3" borderId="10" xfId="0" applyFont="1" applyFill="1" applyBorder="1" applyAlignment="1">
      <alignment vertical="top" wrapText="1"/>
    </xf>
    <xf numFmtId="0" fontId="4" fillId="4" borderId="10" xfId="0" applyFont="1" applyFill="1" applyBorder="1" applyAlignment="1">
      <alignment vertical="top" wrapText="1"/>
    </xf>
    <xf numFmtId="0" fontId="13" fillId="6" borderId="6" xfId="0" applyFont="1" applyFill="1" applyBorder="1" applyAlignment="1">
      <alignment horizontal="center" vertical="top" wrapText="1"/>
    </xf>
    <xf numFmtId="0" fontId="12" fillId="0" borderId="6" xfId="0" applyFont="1" applyBorder="1" applyAlignment="1">
      <alignment horizontal="center" vertical="top"/>
    </xf>
    <xf numFmtId="0" fontId="13" fillId="6" borderId="7" xfId="0" applyFont="1" applyFill="1" applyBorder="1" applyAlignment="1">
      <alignment horizontal="center" vertical="top" wrapText="1"/>
    </xf>
    <xf numFmtId="0" fontId="13" fillId="6" borderId="8" xfId="0" applyFont="1" applyFill="1" applyBorder="1" applyAlignment="1">
      <alignment horizontal="center" vertical="top" wrapText="1"/>
    </xf>
    <xf numFmtId="0" fontId="13" fillId="6" borderId="5" xfId="0" applyFont="1" applyFill="1" applyBorder="1" applyAlignment="1">
      <alignment horizontal="center" vertical="top" wrapText="1"/>
    </xf>
    <xf numFmtId="0" fontId="12" fillId="0" borderId="0" xfId="0" applyFont="1" applyAlignment="1">
      <alignment horizontal="center" vertical="top" wrapText="1"/>
    </xf>
    <xf numFmtId="0" fontId="15" fillId="7" borderId="0" xfId="0" applyFont="1" applyFill="1" applyAlignment="1">
      <alignment horizontal="center" vertical="top"/>
    </xf>
    <xf numFmtId="0" fontId="2" fillId="7" borderId="0" xfId="0" applyFont="1" applyFill="1" applyAlignment="1">
      <alignment horizontal="center" vertical="top"/>
    </xf>
    <xf numFmtId="0" fontId="17" fillId="0" borderId="0" xfId="0" applyFont="1" applyAlignment="1">
      <alignment vertical="top" wrapText="1"/>
    </xf>
    <xf numFmtId="0" fontId="17" fillId="0" borderId="0" xfId="0" applyFont="1" applyAlignment="1">
      <alignment vertical="top"/>
    </xf>
    <xf numFmtId="0" fontId="16" fillId="0" borderId="0" xfId="0" applyFont="1" applyAlignment="1">
      <alignment vertical="top"/>
    </xf>
    <xf numFmtId="0" fontId="18" fillId="0" borderId="0" xfId="0" applyFont="1"/>
    <xf numFmtId="0" fontId="4" fillId="3" borderId="10" xfId="0" applyFont="1" applyFill="1" applyBorder="1" applyAlignment="1">
      <alignment horizontal="left" vertical="top" wrapText="1"/>
    </xf>
    <xf numFmtId="0" fontId="4" fillId="3" borderId="5" xfId="0" applyFont="1" applyFill="1" applyBorder="1" applyAlignment="1">
      <alignment horizontal="left" vertical="top" wrapText="1"/>
    </xf>
    <xf numFmtId="1" fontId="4" fillId="3" borderId="5" xfId="0" applyNumberFormat="1" applyFont="1" applyFill="1" applyBorder="1" applyAlignment="1">
      <alignment horizontal="left" vertical="top" wrapText="1"/>
    </xf>
    <xf numFmtId="0" fontId="1" fillId="0" borderId="0" xfId="0" applyFont="1"/>
    <xf numFmtId="0" fontId="7" fillId="0" borderId="0" xfId="0" applyFont="1"/>
    <xf numFmtId="0" fontId="0" fillId="0" borderId="0" xfId="0"/>
    <xf numFmtId="0" fontId="5" fillId="2" borderId="2" xfId="0" applyFont="1" applyFill="1" applyBorder="1" applyAlignment="1">
      <alignment horizontal="center" vertical="center"/>
    </xf>
    <xf numFmtId="0" fontId="6" fillId="0" borderId="3" xfId="0" applyFont="1" applyBorder="1"/>
    <xf numFmtId="0" fontId="6" fillId="0" borderId="4" xfId="0" applyFont="1" applyBorder="1"/>
    <xf numFmtId="0" fontId="4" fillId="3" borderId="2" xfId="0" applyFont="1" applyFill="1" applyBorder="1"/>
    <xf numFmtId="0" fontId="4" fillId="4" borderId="2" xfId="0" applyFont="1" applyFill="1" applyBorder="1"/>
    <xf numFmtId="0" fontId="8" fillId="0" borderId="0" xfId="0" applyFo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topLeftCell="A2" workbookViewId="0">
      <selection activeCell="A2" sqref="A2:B43"/>
    </sheetView>
  </sheetViews>
  <sheetFormatPr defaultColWidth="14.42578125" defaultRowHeight="15" customHeight="1" x14ac:dyDescent="0.25"/>
  <cols>
    <col min="1" max="11" width="50" customWidth="1"/>
    <col min="12" max="26" width="8.7109375"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ht="30" x14ac:dyDescent="0.25">
      <c r="A2" s="23" t="s">
        <v>113</v>
      </c>
      <c r="B2" s="23" t="s">
        <v>114</v>
      </c>
      <c r="C2" s="2" t="s">
        <v>11</v>
      </c>
      <c r="D2" s="2" t="s">
        <v>12</v>
      </c>
      <c r="E2" s="2" t="s">
        <v>13</v>
      </c>
      <c r="F2" s="2" t="s">
        <v>14</v>
      </c>
      <c r="G2" s="2" t="s">
        <v>15</v>
      </c>
      <c r="H2" s="2" t="s">
        <v>16</v>
      </c>
      <c r="I2" s="2" t="s">
        <v>17</v>
      </c>
      <c r="J2" s="2" t="s">
        <v>18</v>
      </c>
      <c r="K2" s="2" t="s">
        <v>19</v>
      </c>
    </row>
    <row r="3" spans="1:11" ht="30" x14ac:dyDescent="0.25">
      <c r="A3" s="23" t="s">
        <v>115</v>
      </c>
      <c r="B3" s="23" t="s">
        <v>116</v>
      </c>
      <c r="C3" s="2" t="s">
        <v>20</v>
      </c>
      <c r="D3" s="2" t="s">
        <v>21</v>
      </c>
      <c r="E3" s="2" t="s">
        <v>22</v>
      </c>
      <c r="F3" s="2" t="s">
        <v>23</v>
      </c>
      <c r="G3" s="2" t="s">
        <v>24</v>
      </c>
      <c r="H3" s="2" t="s">
        <v>25</v>
      </c>
      <c r="I3" s="2" t="s">
        <v>26</v>
      </c>
      <c r="J3" s="2" t="s">
        <v>27</v>
      </c>
      <c r="K3" s="2" t="s">
        <v>28</v>
      </c>
    </row>
    <row r="4" spans="1:11" ht="30" x14ac:dyDescent="0.25">
      <c r="A4" s="23" t="s">
        <v>117</v>
      </c>
      <c r="B4" s="23" t="s">
        <v>118</v>
      </c>
      <c r="D4" s="2" t="s">
        <v>29</v>
      </c>
      <c r="E4" s="2" t="s">
        <v>30</v>
      </c>
      <c r="F4" s="2" t="s">
        <v>31</v>
      </c>
      <c r="G4" s="2" t="s">
        <v>32</v>
      </c>
      <c r="H4" s="2" t="s">
        <v>33</v>
      </c>
      <c r="I4" s="2" t="s">
        <v>34</v>
      </c>
      <c r="J4" s="2" t="s">
        <v>35</v>
      </c>
      <c r="K4" s="2" t="s">
        <v>36</v>
      </c>
    </row>
    <row r="5" spans="1:11" x14ac:dyDescent="0.25">
      <c r="A5" s="23" t="s">
        <v>169</v>
      </c>
      <c r="B5" s="23" t="s">
        <v>37</v>
      </c>
      <c r="D5" s="2" t="s">
        <v>38</v>
      </c>
      <c r="E5" s="2" t="s">
        <v>39</v>
      </c>
      <c r="G5" s="2" t="s">
        <v>40</v>
      </c>
      <c r="H5" s="2" t="s">
        <v>41</v>
      </c>
      <c r="I5" s="2" t="s">
        <v>42</v>
      </c>
      <c r="J5" s="2" t="s">
        <v>43</v>
      </c>
      <c r="K5" s="2" t="s">
        <v>44</v>
      </c>
    </row>
    <row r="6" spans="1:11" x14ac:dyDescent="0.25">
      <c r="A6" s="23" t="s">
        <v>119</v>
      </c>
      <c r="B6" s="23" t="s">
        <v>45</v>
      </c>
      <c r="E6" s="2" t="s">
        <v>46</v>
      </c>
      <c r="G6" s="2" t="s">
        <v>47</v>
      </c>
      <c r="H6" s="2" t="s">
        <v>48</v>
      </c>
      <c r="I6" s="2" t="s">
        <v>49</v>
      </c>
      <c r="J6" s="2" t="s">
        <v>50</v>
      </c>
      <c r="K6" s="2" t="s">
        <v>51</v>
      </c>
    </row>
    <row r="7" spans="1:11" x14ac:dyDescent="0.25">
      <c r="A7" s="2" t="s">
        <v>120</v>
      </c>
      <c r="B7" s="23" t="s">
        <v>52</v>
      </c>
      <c r="H7" s="2" t="s">
        <v>47</v>
      </c>
      <c r="I7" s="2" t="s">
        <v>47</v>
      </c>
      <c r="J7" s="2" t="s">
        <v>53</v>
      </c>
      <c r="K7" s="2" t="s">
        <v>47</v>
      </c>
    </row>
    <row r="8" spans="1:11" x14ac:dyDescent="0.25">
      <c r="A8" s="23" t="s">
        <v>56</v>
      </c>
      <c r="B8" s="23" t="s">
        <v>54</v>
      </c>
      <c r="J8" s="2" t="s">
        <v>47</v>
      </c>
    </row>
    <row r="9" spans="1:11" x14ac:dyDescent="0.25">
      <c r="A9" s="23" t="s">
        <v>170</v>
      </c>
      <c r="B9" s="23" t="s">
        <v>55</v>
      </c>
    </row>
    <row r="10" spans="1:11" x14ac:dyDescent="0.25">
      <c r="A10" s="23" t="s">
        <v>59</v>
      </c>
      <c r="B10" s="23" t="s">
        <v>122</v>
      </c>
    </row>
    <row r="11" spans="1:11" x14ac:dyDescent="0.25">
      <c r="A11" s="23" t="s">
        <v>73</v>
      </c>
      <c r="B11" s="23" t="s">
        <v>57</v>
      </c>
    </row>
    <row r="12" spans="1:11" x14ac:dyDescent="0.25">
      <c r="A12" s="23" t="s">
        <v>123</v>
      </c>
      <c r="B12" s="23" t="s">
        <v>58</v>
      </c>
    </row>
    <row r="13" spans="1:11" x14ac:dyDescent="0.25">
      <c r="B13" s="23" t="s">
        <v>60</v>
      </c>
    </row>
    <row r="14" spans="1:11" x14ac:dyDescent="0.25">
      <c r="A14" s="24"/>
      <c r="B14" s="23" t="s">
        <v>124</v>
      </c>
    </row>
    <row r="15" spans="1:11" x14ac:dyDescent="0.25">
      <c r="A15" s="24"/>
      <c r="B15" s="23" t="s">
        <v>125</v>
      </c>
    </row>
    <row r="16" spans="1:11" x14ac:dyDescent="0.25">
      <c r="A16" s="25"/>
      <c r="B16" s="23" t="s">
        <v>126</v>
      </c>
    </row>
    <row r="17" spans="1:2" x14ac:dyDescent="0.25">
      <c r="A17" s="25"/>
      <c r="B17" s="23" t="s">
        <v>127</v>
      </c>
    </row>
    <row r="18" spans="1:2" x14ac:dyDescent="0.25">
      <c r="A18" s="25"/>
      <c r="B18" s="23" t="s">
        <v>61</v>
      </c>
    </row>
    <row r="19" spans="1:2" x14ac:dyDescent="0.25">
      <c r="A19" s="25"/>
      <c r="B19" s="23" t="s">
        <v>62</v>
      </c>
    </row>
    <row r="20" spans="1:2" x14ac:dyDescent="0.25">
      <c r="A20" s="25"/>
      <c r="B20" s="23" t="s">
        <v>63</v>
      </c>
    </row>
    <row r="21" spans="1:2" ht="15.75" customHeight="1" x14ac:dyDescent="0.25">
      <c r="A21" s="25"/>
      <c r="B21" s="23" t="s">
        <v>64</v>
      </c>
    </row>
    <row r="22" spans="1:2" ht="15.75" customHeight="1" x14ac:dyDescent="0.25">
      <c r="A22" s="25"/>
      <c r="B22" s="23" t="s">
        <v>65</v>
      </c>
    </row>
    <row r="23" spans="1:2" ht="15.75" customHeight="1" x14ac:dyDescent="0.25">
      <c r="A23" s="25"/>
      <c r="B23" s="23" t="s">
        <v>66</v>
      </c>
    </row>
    <row r="24" spans="1:2" ht="15.75" customHeight="1" x14ac:dyDescent="0.25">
      <c r="A24" s="25"/>
      <c r="B24" s="23" t="s">
        <v>67</v>
      </c>
    </row>
    <row r="25" spans="1:2" ht="15.75" customHeight="1" x14ac:dyDescent="0.25">
      <c r="A25" s="25"/>
      <c r="B25" s="23" t="s">
        <v>68</v>
      </c>
    </row>
    <row r="26" spans="1:2" ht="15.75" customHeight="1" x14ac:dyDescent="0.25">
      <c r="A26" s="25"/>
      <c r="B26" s="23" t="s">
        <v>69</v>
      </c>
    </row>
    <row r="27" spans="1:2" ht="15.75" customHeight="1" x14ac:dyDescent="0.25">
      <c r="A27" s="25"/>
      <c r="B27" s="23" t="s">
        <v>70</v>
      </c>
    </row>
    <row r="28" spans="1:2" ht="15.75" customHeight="1" x14ac:dyDescent="0.25">
      <c r="A28" s="25"/>
      <c r="B28" s="23" t="s">
        <v>128</v>
      </c>
    </row>
    <row r="29" spans="1:2" ht="15.75" customHeight="1" x14ac:dyDescent="0.25">
      <c r="A29" s="25"/>
      <c r="B29" s="23" t="s">
        <v>71</v>
      </c>
    </row>
    <row r="30" spans="1:2" ht="15.75" customHeight="1" x14ac:dyDescent="0.25">
      <c r="A30" s="25"/>
      <c r="B30" s="23" t="s">
        <v>129</v>
      </c>
    </row>
    <row r="31" spans="1:2" ht="15.75" customHeight="1" x14ac:dyDescent="0.25">
      <c r="A31" s="25"/>
      <c r="B31" s="23" t="s">
        <v>130</v>
      </c>
    </row>
    <row r="32" spans="1:2" ht="15.75" customHeight="1" x14ac:dyDescent="0.25">
      <c r="A32" s="25"/>
      <c r="B32" s="23" t="s">
        <v>72</v>
      </c>
    </row>
    <row r="33" spans="1:2" ht="15.75" customHeight="1" x14ac:dyDescent="0.25">
      <c r="A33" s="25"/>
      <c r="B33" s="23" t="s">
        <v>171</v>
      </c>
    </row>
    <row r="34" spans="1:2" ht="15.75" customHeight="1" x14ac:dyDescent="0.25">
      <c r="A34" s="24"/>
      <c r="B34" s="23" t="s">
        <v>131</v>
      </c>
    </row>
    <row r="35" spans="1:2" ht="15.75" customHeight="1" x14ac:dyDescent="0.25">
      <c r="B35" s="23" t="s">
        <v>132</v>
      </c>
    </row>
    <row r="36" spans="1:2" ht="15.75" customHeight="1" x14ac:dyDescent="0.25">
      <c r="B36" s="23" t="s">
        <v>133</v>
      </c>
    </row>
    <row r="37" spans="1:2" ht="15.75" customHeight="1" x14ac:dyDescent="0.25">
      <c r="B37" s="30" t="s">
        <v>134</v>
      </c>
    </row>
    <row r="38" spans="1:2" ht="15.75" customHeight="1" x14ac:dyDescent="0.25">
      <c r="B38" s="26" t="s">
        <v>135</v>
      </c>
    </row>
    <row r="39" spans="1:2" ht="15.75" customHeight="1" x14ac:dyDescent="0.25">
      <c r="B39" s="23" t="s">
        <v>169</v>
      </c>
    </row>
    <row r="40" spans="1:2" ht="15.75" customHeight="1" x14ac:dyDescent="0.25">
      <c r="B40" s="23" t="s">
        <v>56</v>
      </c>
    </row>
    <row r="41" spans="1:2" ht="15.75" customHeight="1" x14ac:dyDescent="0.25">
      <c r="B41" s="30" t="s">
        <v>136</v>
      </c>
    </row>
    <row r="42" spans="1:2" ht="15.75" customHeight="1" x14ac:dyDescent="0.25">
      <c r="B42" t="s">
        <v>172</v>
      </c>
    </row>
    <row r="43" spans="1:2" ht="15.75" customHeight="1" x14ac:dyDescent="0.25">
      <c r="B43" t="s">
        <v>173</v>
      </c>
    </row>
    <row r="44" spans="1:2" ht="15.75" customHeight="1" x14ac:dyDescent="0.25">
      <c r="A44" t="s">
        <v>138</v>
      </c>
    </row>
    <row r="45" spans="1:2" ht="15.75" customHeight="1" x14ac:dyDescent="0.25"/>
    <row r="46" spans="1:2" ht="15.75" customHeight="1" x14ac:dyDescent="0.25"/>
    <row r="47" spans="1:2" ht="15.75" customHeight="1" x14ac:dyDescent="0.25"/>
    <row r="48" spans="1:2"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8"/>
  <sheetViews>
    <sheetView tabSelected="1" topLeftCell="F7" zoomScale="80" zoomScaleNormal="80" workbookViewId="0">
      <selection activeCell="L11" activeCellId="1" sqref="C5 L11:L22 J11:J22 N11:N22 P11:P22 R11:R22"/>
    </sheetView>
  </sheetViews>
  <sheetFormatPr defaultColWidth="14.42578125" defaultRowHeight="15" customHeight="1" x14ac:dyDescent="0.25"/>
  <cols>
    <col min="1" max="1" width="10.85546875" customWidth="1"/>
    <col min="2" max="2" width="35" customWidth="1"/>
    <col min="3" max="3" width="28.5703125" customWidth="1"/>
    <col min="4" max="4" width="25.28515625" customWidth="1"/>
    <col min="5" max="5" width="26.42578125" customWidth="1"/>
    <col min="6" max="6" width="26.5703125" customWidth="1"/>
    <col min="7" max="7" width="21.28515625" customWidth="1"/>
    <col min="8" max="9" width="15" customWidth="1"/>
    <col min="10" max="10" width="20" customWidth="1"/>
    <col min="11" max="11" width="27.7109375" customWidth="1"/>
    <col min="12" max="12" width="20" customWidth="1"/>
    <col min="13" max="13" width="27" customWidth="1"/>
    <col min="14" max="14" width="20" customWidth="1"/>
    <col min="15" max="15" width="25" customWidth="1"/>
    <col min="16" max="16" width="20" customWidth="1"/>
    <col min="17" max="17" width="25" customWidth="1"/>
    <col min="18" max="18" width="20" customWidth="1"/>
    <col min="19" max="19" width="25" customWidth="1"/>
    <col min="20" max="20" width="25.7109375" customWidth="1"/>
    <col min="21" max="21" width="17.140625" customWidth="1"/>
    <col min="22" max="22" width="19.28515625" customWidth="1"/>
    <col min="23" max="24" width="20" customWidth="1"/>
    <col min="25" max="26" width="8.7109375" customWidth="1"/>
  </cols>
  <sheetData>
    <row r="1" spans="1:26" ht="30" customHeight="1" x14ac:dyDescent="0.25">
      <c r="A1" s="33" t="s">
        <v>74</v>
      </c>
      <c r="B1" s="34"/>
      <c r="C1" s="34"/>
      <c r="D1" s="34"/>
      <c r="E1" s="34"/>
      <c r="F1" s="34"/>
      <c r="G1" s="34"/>
      <c r="H1" s="34"/>
      <c r="I1" s="34"/>
      <c r="J1" s="34"/>
      <c r="K1" s="34"/>
      <c r="L1" s="34"/>
      <c r="M1" s="34"/>
      <c r="N1" s="34"/>
      <c r="O1" s="34"/>
      <c r="P1" s="34"/>
      <c r="Q1" s="34"/>
      <c r="R1" s="34"/>
      <c r="S1" s="34"/>
      <c r="T1" s="34"/>
      <c r="U1" s="34"/>
      <c r="V1" s="34"/>
      <c r="W1" s="34"/>
      <c r="X1" s="35"/>
    </row>
    <row r="3" spans="1:26" x14ac:dyDescent="0.25">
      <c r="B3" s="3" t="s">
        <v>75</v>
      </c>
      <c r="C3" s="36" t="s">
        <v>168</v>
      </c>
      <c r="D3" s="34"/>
      <c r="E3" s="34"/>
      <c r="F3" s="34"/>
      <c r="G3" s="34"/>
      <c r="H3" s="34"/>
      <c r="I3" s="34"/>
      <c r="J3" s="34"/>
      <c r="K3" s="34"/>
      <c r="L3" s="34"/>
      <c r="M3" s="34"/>
      <c r="N3" s="34"/>
      <c r="O3" s="34"/>
      <c r="P3" s="34"/>
      <c r="Q3" s="34"/>
      <c r="R3" s="34"/>
      <c r="S3" s="34"/>
      <c r="T3" s="34"/>
      <c r="U3" s="34"/>
      <c r="V3" s="34"/>
      <c r="W3" s="34"/>
      <c r="X3" s="35"/>
    </row>
    <row r="4" spans="1:26" x14ac:dyDescent="0.25">
      <c r="B4" s="3" t="s">
        <v>76</v>
      </c>
      <c r="C4" s="37" t="s">
        <v>121</v>
      </c>
      <c r="D4" s="34"/>
      <c r="E4" s="34"/>
      <c r="F4" s="34"/>
      <c r="G4" s="34"/>
      <c r="H4" s="34"/>
      <c r="I4" s="34"/>
      <c r="J4" s="34"/>
      <c r="K4" s="34"/>
      <c r="L4" s="34"/>
      <c r="M4" s="34"/>
      <c r="N4" s="34"/>
      <c r="O4" s="34"/>
      <c r="P4" s="34"/>
      <c r="Q4" s="34"/>
      <c r="R4" s="34"/>
      <c r="S4" s="34"/>
      <c r="T4" s="34"/>
      <c r="U4" s="34"/>
      <c r="V4" s="34"/>
      <c r="W4" s="34"/>
      <c r="X4" s="35"/>
    </row>
    <row r="5" spans="1:26" x14ac:dyDescent="0.25">
      <c r="B5" s="3" t="s">
        <v>77</v>
      </c>
      <c r="C5" s="37" t="s">
        <v>130</v>
      </c>
      <c r="D5" s="34"/>
      <c r="E5" s="34"/>
      <c r="F5" s="34"/>
      <c r="G5" s="34"/>
      <c r="H5" s="34"/>
      <c r="I5" s="34"/>
      <c r="J5" s="34"/>
      <c r="K5" s="34"/>
      <c r="L5" s="34"/>
      <c r="M5" s="34"/>
      <c r="N5" s="34"/>
      <c r="O5" s="34"/>
      <c r="P5" s="34"/>
      <c r="Q5" s="34"/>
      <c r="R5" s="34"/>
      <c r="S5" s="34"/>
      <c r="T5" s="34"/>
      <c r="U5" s="34"/>
      <c r="V5" s="34"/>
      <c r="W5" s="34"/>
      <c r="X5" s="35"/>
    </row>
    <row r="6" spans="1:26" x14ac:dyDescent="0.25">
      <c r="B6" s="3" t="s">
        <v>78</v>
      </c>
      <c r="C6" s="36" t="s">
        <v>137</v>
      </c>
      <c r="D6" s="34"/>
      <c r="E6" s="34"/>
      <c r="F6" s="34"/>
      <c r="G6" s="34"/>
      <c r="H6" s="34"/>
      <c r="I6" s="34"/>
      <c r="J6" s="34"/>
      <c r="K6" s="34"/>
      <c r="L6" s="34"/>
      <c r="M6" s="34"/>
      <c r="N6" s="34"/>
      <c r="O6" s="34"/>
      <c r="P6" s="34"/>
      <c r="Q6" s="34"/>
      <c r="R6" s="34"/>
      <c r="S6" s="34"/>
      <c r="T6" s="34"/>
      <c r="U6" s="34"/>
      <c r="V6" s="34"/>
      <c r="W6" s="34"/>
      <c r="X6" s="35"/>
    </row>
    <row r="8" spans="1:26" ht="15.75" x14ac:dyDescent="0.25">
      <c r="A8" s="38" t="s">
        <v>79</v>
      </c>
      <c r="B8" s="32"/>
      <c r="C8" s="32"/>
      <c r="D8" s="32"/>
      <c r="E8" s="32"/>
      <c r="F8" s="32"/>
      <c r="G8" s="32"/>
      <c r="H8" s="32"/>
      <c r="I8" s="32"/>
      <c r="J8" s="32"/>
      <c r="K8" s="32"/>
      <c r="L8" s="32"/>
      <c r="M8" s="32"/>
      <c r="N8" s="32"/>
      <c r="O8" s="32"/>
      <c r="P8" s="32"/>
      <c r="Q8" s="32"/>
      <c r="R8" s="32"/>
      <c r="S8" s="32"/>
      <c r="T8" s="32"/>
      <c r="U8" s="32"/>
      <c r="V8" s="32"/>
      <c r="W8" s="32"/>
      <c r="X8" s="32"/>
    </row>
    <row r="9" spans="1:26" ht="97.15" customHeight="1" x14ac:dyDescent="0.3">
      <c r="A9" s="4" t="s">
        <v>80</v>
      </c>
      <c r="B9" s="12" t="s">
        <v>81</v>
      </c>
      <c r="C9" s="12" t="s">
        <v>82</v>
      </c>
      <c r="D9" s="12" t="s">
        <v>83</v>
      </c>
      <c r="E9" s="12" t="s">
        <v>84</v>
      </c>
      <c r="F9" s="12" t="s">
        <v>106</v>
      </c>
      <c r="G9" s="4" t="s">
        <v>85</v>
      </c>
      <c r="H9" s="4" t="s">
        <v>86</v>
      </c>
      <c r="I9" s="4" t="s">
        <v>87</v>
      </c>
      <c r="J9" s="4" t="s">
        <v>88</v>
      </c>
      <c r="K9" s="4" t="s">
        <v>89</v>
      </c>
      <c r="L9" s="4" t="s">
        <v>90</v>
      </c>
      <c r="M9" s="4" t="s">
        <v>91</v>
      </c>
      <c r="N9" s="4" t="s">
        <v>92</v>
      </c>
      <c r="O9" s="4" t="s">
        <v>93</v>
      </c>
      <c r="P9" s="4" t="s">
        <v>94</v>
      </c>
      <c r="Q9" s="4" t="s">
        <v>95</v>
      </c>
      <c r="R9" s="4" t="s">
        <v>96</v>
      </c>
      <c r="S9" s="4" t="s">
        <v>97</v>
      </c>
      <c r="T9" s="4" t="s">
        <v>98</v>
      </c>
      <c r="U9" s="4" t="s">
        <v>99</v>
      </c>
      <c r="V9" s="4" t="s">
        <v>100</v>
      </c>
      <c r="W9" s="4" t="s">
        <v>101</v>
      </c>
      <c r="X9" s="4" t="s">
        <v>102</v>
      </c>
      <c r="Y9" s="5"/>
      <c r="Z9" s="5"/>
    </row>
    <row r="10" spans="1:26" s="22" customFormat="1" ht="48.6" customHeight="1" x14ac:dyDescent="0.25">
      <c r="A10" s="17" t="s">
        <v>112</v>
      </c>
      <c r="B10" s="15" t="s">
        <v>107</v>
      </c>
      <c r="C10" s="16" t="s">
        <v>108</v>
      </c>
      <c r="D10" s="16" t="s">
        <v>108</v>
      </c>
      <c r="E10" s="16" t="s">
        <v>108</v>
      </c>
      <c r="F10" s="15" t="s">
        <v>110</v>
      </c>
      <c r="G10" s="18"/>
      <c r="H10" s="19"/>
      <c r="I10" s="19"/>
      <c r="J10" s="16" t="s">
        <v>108</v>
      </c>
      <c r="K10" s="20" t="s">
        <v>109</v>
      </c>
      <c r="L10" s="16" t="s">
        <v>108</v>
      </c>
      <c r="M10" s="20" t="s">
        <v>109</v>
      </c>
      <c r="N10" s="16" t="s">
        <v>108</v>
      </c>
      <c r="O10" s="20" t="s">
        <v>109</v>
      </c>
      <c r="P10" s="16" t="s">
        <v>108</v>
      </c>
      <c r="Q10" s="20" t="s">
        <v>109</v>
      </c>
      <c r="R10" s="16" t="s">
        <v>108</v>
      </c>
      <c r="S10" s="20" t="s">
        <v>109</v>
      </c>
      <c r="T10" s="19"/>
      <c r="U10" s="19"/>
      <c r="V10" s="19" t="s">
        <v>111</v>
      </c>
      <c r="W10" s="19"/>
      <c r="X10" s="19"/>
      <c r="Y10" s="21"/>
      <c r="Z10" s="21"/>
    </row>
    <row r="11" spans="1:26" ht="78" customHeight="1" x14ac:dyDescent="0.25">
      <c r="A11" s="6">
        <v>1</v>
      </c>
      <c r="B11" s="13" t="s">
        <v>139</v>
      </c>
      <c r="C11" s="14" t="s">
        <v>11</v>
      </c>
      <c r="D11" s="14" t="s">
        <v>12</v>
      </c>
      <c r="E11" s="14" t="s">
        <v>13</v>
      </c>
      <c r="F11" s="27">
        <v>120</v>
      </c>
      <c r="G11" s="7" t="s">
        <v>15</v>
      </c>
      <c r="H11" s="7" t="s">
        <v>16</v>
      </c>
      <c r="I11" s="7" t="s">
        <v>49</v>
      </c>
      <c r="J11" s="8" t="s">
        <v>52</v>
      </c>
      <c r="K11" s="7" t="s">
        <v>151</v>
      </c>
      <c r="L11" s="8" t="s">
        <v>54</v>
      </c>
      <c r="M11" s="7" t="s">
        <v>151</v>
      </c>
      <c r="N11" s="8" t="s">
        <v>136</v>
      </c>
      <c r="O11" s="7"/>
      <c r="P11" s="8" t="s">
        <v>136</v>
      </c>
      <c r="Q11" s="7" t="s">
        <v>154</v>
      </c>
      <c r="R11" s="8" t="s">
        <v>136</v>
      </c>
      <c r="S11" s="7" t="s">
        <v>154</v>
      </c>
      <c r="T11" s="7" t="s">
        <v>153</v>
      </c>
      <c r="U11" s="7" t="s">
        <v>154</v>
      </c>
      <c r="V11" s="8" t="s">
        <v>31</v>
      </c>
      <c r="W11" s="7" t="s">
        <v>53</v>
      </c>
      <c r="X11" s="7" t="s">
        <v>51</v>
      </c>
    </row>
    <row r="12" spans="1:26" ht="96" customHeight="1" x14ac:dyDescent="0.25">
      <c r="A12" s="6">
        <v>2</v>
      </c>
      <c r="B12" s="7" t="s">
        <v>143</v>
      </c>
      <c r="C12" s="8" t="s">
        <v>20</v>
      </c>
      <c r="D12" s="8" t="s">
        <v>12</v>
      </c>
      <c r="E12" s="8" t="s">
        <v>13</v>
      </c>
      <c r="F12" s="28">
        <v>120</v>
      </c>
      <c r="G12" s="7" t="s">
        <v>150</v>
      </c>
      <c r="H12" s="7" t="s">
        <v>41</v>
      </c>
      <c r="I12" s="7" t="s">
        <v>42</v>
      </c>
      <c r="J12" s="8" t="s">
        <v>52</v>
      </c>
      <c r="K12" s="7" t="s">
        <v>149</v>
      </c>
      <c r="L12" s="8" t="s">
        <v>54</v>
      </c>
      <c r="M12" s="7" t="s">
        <v>149</v>
      </c>
      <c r="N12" s="8" t="s">
        <v>136</v>
      </c>
      <c r="O12" s="7"/>
      <c r="P12" s="8" t="s">
        <v>136</v>
      </c>
      <c r="Q12" s="7" t="s">
        <v>154</v>
      </c>
      <c r="R12" s="8" t="s">
        <v>136</v>
      </c>
      <c r="S12" s="7" t="s">
        <v>154</v>
      </c>
      <c r="T12" s="7" t="s">
        <v>153</v>
      </c>
      <c r="U12" s="7" t="s">
        <v>156</v>
      </c>
      <c r="V12" s="8" t="s">
        <v>31</v>
      </c>
      <c r="W12" s="7" t="s">
        <v>157</v>
      </c>
      <c r="X12" s="7" t="s">
        <v>19</v>
      </c>
    </row>
    <row r="13" spans="1:26" ht="39.75" customHeight="1" x14ac:dyDescent="0.25">
      <c r="A13" s="6">
        <v>3</v>
      </c>
      <c r="B13" s="7" t="s">
        <v>142</v>
      </c>
      <c r="C13" s="8" t="s">
        <v>11</v>
      </c>
      <c r="D13" s="8" t="s">
        <v>12</v>
      </c>
      <c r="E13" s="8" t="s">
        <v>13</v>
      </c>
      <c r="F13" s="28">
        <v>30</v>
      </c>
      <c r="G13" s="7" t="s">
        <v>15</v>
      </c>
      <c r="H13" s="7" t="s">
        <v>147</v>
      </c>
      <c r="I13" s="7" t="s">
        <v>147</v>
      </c>
      <c r="J13" s="8" t="s">
        <v>136</v>
      </c>
      <c r="K13" s="7"/>
      <c r="L13" s="8" t="s">
        <v>136</v>
      </c>
      <c r="M13" s="7"/>
      <c r="N13" s="8" t="s">
        <v>136</v>
      </c>
      <c r="O13" s="7"/>
      <c r="P13" s="8" t="s">
        <v>136</v>
      </c>
      <c r="Q13" s="7" t="s">
        <v>154</v>
      </c>
      <c r="R13" s="8" t="s">
        <v>136</v>
      </c>
      <c r="S13" s="7" t="s">
        <v>154</v>
      </c>
      <c r="T13" s="7" t="s">
        <v>152</v>
      </c>
      <c r="U13" s="7"/>
      <c r="V13" s="8" t="s">
        <v>31</v>
      </c>
      <c r="W13" s="7" t="s">
        <v>147</v>
      </c>
      <c r="X13" s="7" t="s">
        <v>51</v>
      </c>
    </row>
    <row r="14" spans="1:26" ht="60.75" customHeight="1" x14ac:dyDescent="0.25">
      <c r="A14" s="6">
        <v>4</v>
      </c>
      <c r="B14" s="7" t="s">
        <v>141</v>
      </c>
      <c r="C14" s="8" t="s">
        <v>11</v>
      </c>
      <c r="D14" s="8" t="s">
        <v>12</v>
      </c>
      <c r="E14" s="8" t="s">
        <v>13</v>
      </c>
      <c r="F14" s="28">
        <v>30</v>
      </c>
      <c r="G14" s="7" t="s">
        <v>40</v>
      </c>
      <c r="H14" s="7" t="s">
        <v>147</v>
      </c>
      <c r="I14" s="7" t="s">
        <v>147</v>
      </c>
      <c r="J14" s="8" t="s">
        <v>136</v>
      </c>
      <c r="K14" s="7"/>
      <c r="L14" s="8" t="s">
        <v>136</v>
      </c>
      <c r="M14" s="7"/>
      <c r="N14" s="8" t="s">
        <v>136</v>
      </c>
      <c r="O14" s="7"/>
      <c r="P14" s="8" t="s">
        <v>136</v>
      </c>
      <c r="Q14" s="7"/>
      <c r="R14" s="8" t="s">
        <v>136</v>
      </c>
      <c r="S14" s="7"/>
      <c r="T14" s="7" t="s">
        <v>162</v>
      </c>
      <c r="U14" s="7" t="s">
        <v>156</v>
      </c>
      <c r="V14" s="8" t="s">
        <v>31</v>
      </c>
      <c r="W14" s="7" t="s">
        <v>147</v>
      </c>
      <c r="X14" s="7" t="s">
        <v>51</v>
      </c>
    </row>
    <row r="15" spans="1:26" ht="47.25" customHeight="1" x14ac:dyDescent="0.25">
      <c r="A15" s="6">
        <v>5</v>
      </c>
      <c r="B15" s="7" t="s">
        <v>140</v>
      </c>
      <c r="C15" s="8" t="s">
        <v>11</v>
      </c>
      <c r="D15" s="8" t="s">
        <v>12</v>
      </c>
      <c r="E15" s="8" t="s">
        <v>13</v>
      </c>
      <c r="F15" s="28">
        <v>90</v>
      </c>
      <c r="G15" s="7" t="s">
        <v>15</v>
      </c>
      <c r="H15" s="7" t="s">
        <v>147</v>
      </c>
      <c r="I15" s="7" t="s">
        <v>147</v>
      </c>
      <c r="J15" s="8" t="s">
        <v>136</v>
      </c>
      <c r="K15" s="7"/>
      <c r="L15" s="8" t="s">
        <v>136</v>
      </c>
      <c r="M15" s="7"/>
      <c r="N15" s="8" t="s">
        <v>136</v>
      </c>
      <c r="O15" s="7"/>
      <c r="P15" s="8" t="s">
        <v>136</v>
      </c>
      <c r="Q15" s="7"/>
      <c r="R15" s="8" t="s">
        <v>136</v>
      </c>
      <c r="S15" s="7"/>
      <c r="T15" s="7" t="s">
        <v>147</v>
      </c>
      <c r="U15" s="7" t="s">
        <v>156</v>
      </c>
      <c r="V15" s="8" t="s">
        <v>31</v>
      </c>
      <c r="W15" s="7" t="s">
        <v>18</v>
      </c>
      <c r="X15" s="7" t="s">
        <v>51</v>
      </c>
    </row>
    <row r="16" spans="1:26" ht="39.75" customHeight="1" x14ac:dyDescent="0.25">
      <c r="A16" s="6">
        <v>6</v>
      </c>
      <c r="B16" s="7" t="s">
        <v>144</v>
      </c>
      <c r="C16" s="8" t="s">
        <v>11</v>
      </c>
      <c r="D16" s="8" t="s">
        <v>12</v>
      </c>
      <c r="E16" s="8" t="s">
        <v>13</v>
      </c>
      <c r="F16" s="28">
        <v>60</v>
      </c>
      <c r="G16" s="7" t="s">
        <v>15</v>
      </c>
      <c r="H16" s="7" t="s">
        <v>147</v>
      </c>
      <c r="I16" s="7" t="s">
        <v>49</v>
      </c>
      <c r="J16" s="8" t="s">
        <v>136</v>
      </c>
      <c r="K16" s="7"/>
      <c r="L16" s="8" t="s">
        <v>136</v>
      </c>
      <c r="M16" s="7"/>
      <c r="N16" s="8" t="s">
        <v>136</v>
      </c>
      <c r="O16" s="7"/>
      <c r="P16" s="8" t="s">
        <v>136</v>
      </c>
      <c r="Q16" s="7"/>
      <c r="R16" s="8" t="s">
        <v>136</v>
      </c>
      <c r="S16" s="7"/>
      <c r="T16" s="7" t="s">
        <v>152</v>
      </c>
      <c r="U16" s="7"/>
      <c r="V16" s="8" t="s">
        <v>31</v>
      </c>
      <c r="W16" s="7" t="s">
        <v>147</v>
      </c>
      <c r="X16" s="7" t="s">
        <v>51</v>
      </c>
    </row>
    <row r="17" spans="1:24" ht="49.5" customHeight="1" x14ac:dyDescent="0.25">
      <c r="A17" s="6">
        <v>7</v>
      </c>
      <c r="B17" s="7" t="s">
        <v>146</v>
      </c>
      <c r="C17" s="8" t="s">
        <v>11</v>
      </c>
      <c r="D17" s="8" t="s">
        <v>12</v>
      </c>
      <c r="E17" s="8" t="s">
        <v>13</v>
      </c>
      <c r="F17" s="29">
        <v>30</v>
      </c>
      <c r="G17" s="7" t="s">
        <v>15</v>
      </c>
      <c r="H17" s="7" t="s">
        <v>147</v>
      </c>
      <c r="I17" s="7" t="s">
        <v>147</v>
      </c>
      <c r="J17" s="8" t="s">
        <v>136</v>
      </c>
      <c r="K17" s="7"/>
      <c r="L17" s="8" t="s">
        <v>136</v>
      </c>
      <c r="M17" s="7"/>
      <c r="N17" s="8" t="s">
        <v>136</v>
      </c>
      <c r="O17" s="7"/>
      <c r="P17" s="8" t="s">
        <v>136</v>
      </c>
      <c r="Q17" s="7"/>
      <c r="R17" s="8" t="s">
        <v>136</v>
      </c>
      <c r="S17" s="7"/>
      <c r="T17" s="7" t="s">
        <v>147</v>
      </c>
      <c r="U17" s="7"/>
      <c r="V17" s="8" t="s">
        <v>23</v>
      </c>
      <c r="W17" s="7" t="s">
        <v>147</v>
      </c>
      <c r="X17" s="7" t="s">
        <v>51</v>
      </c>
    </row>
    <row r="18" spans="1:24" ht="39.75" customHeight="1" x14ac:dyDescent="0.25">
      <c r="A18" s="6">
        <v>8</v>
      </c>
      <c r="B18" s="7" t="s">
        <v>145</v>
      </c>
      <c r="C18" s="8" t="s">
        <v>11</v>
      </c>
      <c r="D18" s="8" t="s">
        <v>12</v>
      </c>
      <c r="E18" s="8" t="s">
        <v>13</v>
      </c>
      <c r="F18" s="28">
        <v>60</v>
      </c>
      <c r="G18" s="7" t="s">
        <v>15</v>
      </c>
      <c r="H18" s="7" t="s">
        <v>147</v>
      </c>
      <c r="I18" s="7" t="s">
        <v>49</v>
      </c>
      <c r="J18" s="8" t="s">
        <v>52</v>
      </c>
      <c r="K18" s="7" t="s">
        <v>148</v>
      </c>
      <c r="L18" s="8" t="s">
        <v>54</v>
      </c>
      <c r="M18" s="7" t="s">
        <v>148</v>
      </c>
      <c r="N18" s="8" t="s">
        <v>136</v>
      </c>
      <c r="O18" s="7"/>
      <c r="P18" s="8" t="s">
        <v>136</v>
      </c>
      <c r="Q18" s="7"/>
      <c r="R18" s="8" t="s">
        <v>136</v>
      </c>
      <c r="S18" s="7"/>
      <c r="T18" s="7" t="s">
        <v>155</v>
      </c>
      <c r="U18" s="7"/>
      <c r="V18" s="8" t="s">
        <v>31</v>
      </c>
      <c r="W18" s="7" t="s">
        <v>147</v>
      </c>
      <c r="X18" s="7" t="s">
        <v>51</v>
      </c>
    </row>
    <row r="19" spans="1:24" ht="39.75" customHeight="1" x14ac:dyDescent="0.25">
      <c r="A19" s="6">
        <v>9</v>
      </c>
      <c r="B19" s="7" t="s">
        <v>158</v>
      </c>
      <c r="C19" s="8" t="s">
        <v>11</v>
      </c>
      <c r="D19" s="8" t="s">
        <v>21</v>
      </c>
      <c r="E19" s="8" t="s">
        <v>46</v>
      </c>
      <c r="F19" s="28">
        <v>10</v>
      </c>
      <c r="G19" s="7" t="s">
        <v>15</v>
      </c>
      <c r="H19" s="7" t="s">
        <v>147</v>
      </c>
      <c r="I19" s="7" t="s">
        <v>147</v>
      </c>
      <c r="J19" s="8" t="s">
        <v>136</v>
      </c>
      <c r="K19" s="7"/>
      <c r="L19" s="8" t="s">
        <v>136</v>
      </c>
      <c r="M19" s="7"/>
      <c r="N19" s="8" t="s">
        <v>136</v>
      </c>
      <c r="O19" s="7"/>
      <c r="P19" s="8" t="s">
        <v>136</v>
      </c>
      <c r="Q19" s="7"/>
      <c r="R19" s="8" t="s">
        <v>136</v>
      </c>
      <c r="S19" s="7"/>
      <c r="T19" s="7" t="s">
        <v>155</v>
      </c>
      <c r="U19" s="7"/>
      <c r="V19" s="8" t="s">
        <v>23</v>
      </c>
      <c r="W19" s="7" t="s">
        <v>147</v>
      </c>
      <c r="X19" s="7" t="s">
        <v>51</v>
      </c>
    </row>
    <row r="20" spans="1:24" ht="53.25" customHeight="1" x14ac:dyDescent="0.25">
      <c r="A20" s="6">
        <v>10</v>
      </c>
      <c r="B20" s="7" t="s">
        <v>159</v>
      </c>
      <c r="C20" s="8" t="s">
        <v>11</v>
      </c>
      <c r="D20" s="8" t="s">
        <v>29</v>
      </c>
      <c r="E20" s="8" t="s">
        <v>46</v>
      </c>
      <c r="F20" s="28">
        <v>10</v>
      </c>
      <c r="G20" s="7" t="s">
        <v>15</v>
      </c>
      <c r="H20" s="7" t="s">
        <v>147</v>
      </c>
      <c r="I20" s="7" t="s">
        <v>147</v>
      </c>
      <c r="J20" s="8" t="s">
        <v>61</v>
      </c>
      <c r="K20" s="7" t="s">
        <v>160</v>
      </c>
      <c r="L20" s="8" t="s">
        <v>136</v>
      </c>
      <c r="M20" s="7"/>
      <c r="N20" s="8" t="s">
        <v>136</v>
      </c>
      <c r="O20" s="7"/>
      <c r="P20" s="8" t="s">
        <v>136</v>
      </c>
      <c r="Q20" s="7"/>
      <c r="R20" s="8" t="s">
        <v>136</v>
      </c>
      <c r="S20" s="7"/>
      <c r="T20" s="7" t="s">
        <v>161</v>
      </c>
      <c r="U20" s="7"/>
      <c r="V20" s="8" t="s">
        <v>14</v>
      </c>
      <c r="W20" s="7" t="s">
        <v>147</v>
      </c>
      <c r="X20" s="7" t="s">
        <v>51</v>
      </c>
    </row>
    <row r="21" spans="1:24" ht="51.75" customHeight="1" x14ac:dyDescent="0.25">
      <c r="A21" s="6">
        <v>11</v>
      </c>
      <c r="B21" s="7" t="s">
        <v>163</v>
      </c>
      <c r="C21" s="8" t="s">
        <v>11</v>
      </c>
      <c r="D21" s="8" t="s">
        <v>29</v>
      </c>
      <c r="E21" s="8" t="s">
        <v>46</v>
      </c>
      <c r="F21" s="28">
        <v>10</v>
      </c>
      <c r="G21" s="7" t="s">
        <v>15</v>
      </c>
      <c r="H21" s="7" t="s">
        <v>147</v>
      </c>
      <c r="I21" s="7" t="s">
        <v>147</v>
      </c>
      <c r="J21" s="8" t="s">
        <v>52</v>
      </c>
      <c r="K21" s="7" t="s">
        <v>160</v>
      </c>
      <c r="L21" s="8" t="s">
        <v>54</v>
      </c>
      <c r="M21" s="7" t="s">
        <v>160</v>
      </c>
      <c r="N21" s="8" t="s">
        <v>136</v>
      </c>
      <c r="O21" s="7"/>
      <c r="P21" s="8" t="s">
        <v>136</v>
      </c>
      <c r="Q21" s="7"/>
      <c r="R21" s="8" t="s">
        <v>136</v>
      </c>
      <c r="S21" s="7"/>
      <c r="T21" s="7" t="s">
        <v>155</v>
      </c>
      <c r="U21" s="7"/>
      <c r="V21" s="8" t="s">
        <v>23</v>
      </c>
      <c r="W21" s="7" t="s">
        <v>147</v>
      </c>
      <c r="X21" s="7" t="s">
        <v>51</v>
      </c>
    </row>
    <row r="22" spans="1:24" ht="67.5" customHeight="1" x14ac:dyDescent="0.25">
      <c r="A22" s="6">
        <v>12</v>
      </c>
      <c r="B22" s="7" t="s">
        <v>164</v>
      </c>
      <c r="C22" s="8" t="s">
        <v>11</v>
      </c>
      <c r="D22" s="8" t="s">
        <v>38</v>
      </c>
      <c r="E22" s="8" t="s">
        <v>30</v>
      </c>
      <c r="F22" s="28">
        <v>240</v>
      </c>
      <c r="G22" s="7" t="s">
        <v>165</v>
      </c>
      <c r="H22" s="7" t="s">
        <v>16</v>
      </c>
      <c r="I22" s="7" t="s">
        <v>17</v>
      </c>
      <c r="J22" s="8" t="s">
        <v>114</v>
      </c>
      <c r="K22" s="7" t="s">
        <v>167</v>
      </c>
      <c r="L22" s="8" t="s">
        <v>136</v>
      </c>
      <c r="M22" s="7"/>
      <c r="N22" s="8" t="s">
        <v>136</v>
      </c>
      <c r="O22" s="7"/>
      <c r="P22" s="8" t="s">
        <v>136</v>
      </c>
      <c r="Q22" s="7"/>
      <c r="R22" s="8" t="s">
        <v>136</v>
      </c>
      <c r="S22" s="7"/>
      <c r="T22" s="7" t="s">
        <v>166</v>
      </c>
      <c r="U22" s="7"/>
      <c r="V22" s="8" t="s">
        <v>14</v>
      </c>
      <c r="W22" s="7" t="s">
        <v>147</v>
      </c>
      <c r="X22" s="7" t="s">
        <v>51</v>
      </c>
    </row>
    <row r="23" spans="1:24" ht="15.75" customHeight="1" x14ac:dyDescent="0.25"/>
    <row r="24" spans="1:24" ht="15.75" customHeight="1" x14ac:dyDescent="0.25">
      <c r="A24" s="9" t="s">
        <v>103</v>
      </c>
    </row>
    <row r="25" spans="1:24" ht="15.75" customHeight="1" x14ac:dyDescent="0.25">
      <c r="A25" s="10" t="s">
        <v>104</v>
      </c>
      <c r="B25" s="31" t="e">
        <f ca="1">Выпадающий список(ТОЛЬКО из списка)</f>
        <v>#NAME?</v>
      </c>
      <c r="C25" s="32"/>
      <c r="D25" s="32"/>
      <c r="E25" s="32"/>
    </row>
    <row r="26" spans="1:24" ht="15.75" customHeight="1" x14ac:dyDescent="0.25">
      <c r="A26" s="11" t="s">
        <v>105</v>
      </c>
      <c r="B26" s="31" t="e">
        <f>Можно выбрать из списка ИЛИ написать своё</f>
        <v>#NAME?</v>
      </c>
      <c r="C26" s="32"/>
      <c r="D26" s="32"/>
      <c r="E26" s="32"/>
    </row>
    <row r="27" spans="1:24" ht="15.75" customHeight="1" x14ac:dyDescent="0.25"/>
    <row r="28" spans="1:24" ht="15.75" customHeight="1" x14ac:dyDescent="0.25"/>
    <row r="29" spans="1:24" ht="15.75" customHeight="1" x14ac:dyDescent="0.25"/>
    <row r="30" spans="1:24" ht="15.75" customHeight="1" x14ac:dyDescent="0.25"/>
    <row r="31" spans="1:24" ht="15.75" customHeight="1" x14ac:dyDescent="0.25"/>
    <row r="32" spans="1:24"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sheetData>
  <mergeCells count="8">
    <mergeCell ref="B25:E25"/>
    <mergeCell ref="B26:E26"/>
    <mergeCell ref="A1:X1"/>
    <mergeCell ref="C3:X3"/>
    <mergeCell ref="C4:X4"/>
    <mergeCell ref="C5:X5"/>
    <mergeCell ref="C6:X6"/>
    <mergeCell ref="A8:X8"/>
  </mergeCells>
  <pageMargins left="0.75" right="0.75" top="1" bottom="1" header="0" footer="0"/>
  <pageSetup orientation="landscape" r:id="rId1"/>
  <extLst>
    <ext xmlns:x14="http://schemas.microsoft.com/office/spreadsheetml/2009/9/main" uri="{CCE6A557-97BC-4b89-ADB6-D9C93CAAB3DF}">
      <x14:dataValidations xmlns:xm="http://schemas.microsoft.com/office/excel/2006/main" count="11">
        <x14:dataValidation type="list" allowBlank="1" xr:uid="{00000000-0002-0000-0100-000007000000}">
          <x14:formula1>
            <xm:f>Справочники!$B$2:$B$44</xm:f>
          </x14:formula1>
          <xm:sqref>C5 L11:L22 J11:J22 N11:N22 P11:P22 R11:R22</xm:sqref>
        </x14:dataValidation>
        <x14:dataValidation type="list" allowBlank="1" xr:uid="{00000000-0002-0000-0100-000004000000}">
          <x14:formula1>
            <xm:f>Справочники!$A$2:$A$13</xm:f>
          </x14:formula1>
          <xm:sqref>C4</xm:sqref>
        </x14:dataValidation>
        <x14:dataValidation type="list" allowBlank="1" xr:uid="{00000000-0002-0000-0100-000000000000}">
          <x14:formula1>
            <xm:f>Справочники!$E$2:$E$6</xm:f>
          </x14:formula1>
          <xm:sqref>E11:E22</xm:sqref>
        </x14:dataValidation>
        <x14:dataValidation type="list" allowBlank="1" xr:uid="{00000000-0002-0000-0100-000001000000}">
          <x14:formula1>
            <xm:f>Справочники!$G$2:$G$6</xm:f>
          </x14:formula1>
          <xm:sqref>G11:G22</xm:sqref>
        </x14:dataValidation>
        <x14:dataValidation type="list" allowBlank="1" xr:uid="{00000000-0002-0000-0100-000002000000}">
          <x14:formula1>
            <xm:f>Справочники!$F$2:$F$4</xm:f>
          </x14:formula1>
          <xm:sqref>V11:V22</xm:sqref>
        </x14:dataValidation>
        <x14:dataValidation type="list" allowBlank="1" xr:uid="{00000000-0002-0000-0100-000003000000}">
          <x14:formula1>
            <xm:f>Справочники!$I$2:$I$7</xm:f>
          </x14:formula1>
          <xm:sqref>I11:I22</xm:sqref>
        </x14:dataValidation>
        <x14:dataValidation type="list" allowBlank="1" xr:uid="{00000000-0002-0000-0100-000005000000}">
          <x14:formula1>
            <xm:f>Справочники!$D$2:$D$5</xm:f>
          </x14:formula1>
          <xm:sqref>D11:D22</xm:sqref>
        </x14:dataValidation>
        <x14:dataValidation type="list" allowBlank="1" xr:uid="{00000000-0002-0000-0100-000006000000}">
          <x14:formula1>
            <xm:f>Справочники!$C$2:$C$3</xm:f>
          </x14:formula1>
          <xm:sqref>C11:C22</xm:sqref>
        </x14:dataValidation>
        <x14:dataValidation type="list" allowBlank="1" xr:uid="{00000000-0002-0000-0100-000008000000}">
          <x14:formula1>
            <xm:f>Справочники!$H$2:$H$7</xm:f>
          </x14:formula1>
          <xm:sqref>H11:H22</xm:sqref>
        </x14:dataValidation>
        <x14:dataValidation type="list" allowBlank="1" xr:uid="{00000000-0002-0000-0100-000009000000}">
          <x14:formula1>
            <xm:f>Справочники!$J$2:$J$8</xm:f>
          </x14:formula1>
          <xm:sqref>W11:W22</xm:sqref>
        </x14:dataValidation>
        <x14:dataValidation type="list" allowBlank="1" xr:uid="{00000000-0002-0000-0100-00000A000000}">
          <x14:formula1>
            <xm:f>Справочники!$K$2:$K$7</xm:f>
          </x14:formula1>
          <xm:sqref>X11:X22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Справочники</vt:lpstr>
      <vt:lpstr>ШАБЛОН</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Александр Ларин</cp:lastModifiedBy>
  <dcterms:created xsi:type="dcterms:W3CDTF">2025-12-06T19:31:51Z</dcterms:created>
  <dcterms:modified xsi:type="dcterms:W3CDTF">2026-01-26T07:53:22Z</dcterms:modified>
</cp:coreProperties>
</file>