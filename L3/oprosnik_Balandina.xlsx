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41DB292-ED57-4137-A009-5FE8985C5EA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5" i="2" l="1"/>
  <c r="B34" i="2"/>
</calcChain>
</file>

<file path=xl/sharedStrings.xml><?xml version="1.0" encoding="utf-8"?>
<sst xmlns="http://schemas.openxmlformats.org/spreadsheetml/2006/main" count="377" uniqueCount="222">
  <si>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</si>
  <si>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</si>
  <si>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</si>
  <si>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</si>
  <si>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</si>
  <si>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</si>
  <si>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</si>
  <si>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</si>
  <si>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</si>
  <si>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</si>
  <si>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</si>
  <si>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</si>
  <si>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</si>
  <si>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</si>
  <si>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</si>
  <si>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</si>
  <si>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</si>
  <si>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</si>
  <si>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</si>
  <si>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</si>
  <si>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</si>
  <si>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</si>
  <si>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</si>
  <si>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</si>
  <si>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</si>
  <si>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</si>
  <si>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</si>
  <si>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</si>
  <si>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</si>
  <si>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</si>
  <si>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</si>
  <si>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</si>
  <si>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</si>
  <si>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</si>
  <si>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</si>
  <si>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</si>
  <si>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</si>
  <si>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</si>
  <si>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</si>
  <si>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</si>
  <si>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</si>
  <si>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</si>
  <si>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</si>
  <si>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</si>
  <si>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</si>
  <si>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</si>
  <si>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</si>
  <si>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</si>
  <si>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</si>
  <si>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</si>
  <si>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</si>
  <si>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</si>
  <si>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</si>
  <si>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</si>
  <si>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</si>
  <si>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</si>
  <si>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</si>
  <si>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</si>
  <si>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</si>
  <si>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</si>
  <si>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</si>
  <si>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</si>
  <si>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</si>
  <si>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</si>
  <si>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</si>
  <si>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</si>
  <si>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</si>
  <si>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</si>
  <si>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</si>
  <si>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</si>
  <si>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</si>
  <si>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</si>
  <si>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</si>
  <si>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</si>
  <si>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</si>
  <si>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</si>
  <si>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</si>
  <si>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</si>
  <si>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</si>
  <si>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</si>
  <si>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</si>
  <si>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</si>
  <si>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</si>
  <si>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</si>
  <si>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</si>
  <si>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</si>
  <si>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</si>
  <si>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</si>
  <si>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</si>
  <si>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</si>
  <si>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</si>
  <si>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</si>
  <si>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</si>
  <si>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</si>
  <si>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</si>
  <si>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</si>
  <si>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</si>
  <si>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</si>
  <si>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</si>
  <si>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</si>
  <si>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</si>
  <si>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</si>
  <si>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</si>
  <si>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</si>
  <si>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</si>
  <si>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</si>
  <si>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</si>
  <si>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</si>
  <si>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</si>
  <si>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</si>
  <si>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</si>
  <si>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</si>
  <si>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</si>
  <si>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</si>
  <si>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</si>
  <si>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</si>
  <si>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</si>
  <si>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</si>
  <si>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</si>
  <si>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</si>
  <si>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</si>
  <si>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</si>
  <si>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</si>
  <si>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</si>
  <si>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</si>
  <si>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</si>
  <si>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</si>
  <si>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</si>
  <si>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</si>
  <si>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</si>
  <si>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</si>
  <si>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</si>
  <si>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</si>
  <si>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</si>
  <si>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</si>
  <si>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</si>
  <si>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отдела въездного туризма</t>
  </si>
  <si>
    <t>Баландина</t>
  </si>
  <si>
    <t>Сверяю поступление денежных средств компании</t>
  </si>
  <si>
    <t>Веду базу данных по запросам</t>
  </si>
  <si>
    <t>Сопровождаю туристов на протяжении заезда, решаю оперативные вопросы. Координирирую выполнение услуг в соответствии с заказом</t>
  </si>
  <si>
    <t>Cоставляю смету для индивидуального запроса (на отдельные услуги)</t>
  </si>
  <si>
    <t>Cоставляю смету для индивидуального запроса (турпакет)</t>
  </si>
  <si>
    <t>Cоставляю смету для группового запроса (турпакет)</t>
  </si>
  <si>
    <t>Бронирую услуги у поставщиков (отели, транспорт, билеты, гиды и т.д.)</t>
  </si>
  <si>
    <t>Выставляю счета клиенту от компании ASM Tourism</t>
  </si>
  <si>
    <t>Завожу заявку в САМО-тур</t>
  </si>
  <si>
    <t>Завожу заявку в САМО-Incoming</t>
  </si>
  <si>
    <t>Запрашиваю/перепроверяю стоимость оказания услуг у поставщиков</t>
  </si>
  <si>
    <t>Подтверждаю бронирования клиенту, оформляю документацию (ваучеры)</t>
  </si>
  <si>
    <t>Зависимость от других отделов. Нехватка времени</t>
  </si>
  <si>
    <t>Обработка текстов + ручной ввод данных</t>
  </si>
  <si>
    <t>Ручной ввод данных + обработка текстов</t>
  </si>
  <si>
    <t>Другое (нахождение в контакте с гостями/гидом)</t>
  </si>
  <si>
    <t>Разрабатываю готовые тур.пакеты (для продвижения партнерами наших услуг). Составляю смету и программу.</t>
  </si>
  <si>
    <t>Островок, работа напрямую с поставщиками</t>
  </si>
  <si>
    <t>Островок, работа напрямую с поставщиками (по почте), официальные сайты поставщиков</t>
  </si>
  <si>
    <t>База данных (соглашение о тарифах), деловые контакты/связь с партнерами</t>
  </si>
  <si>
    <t>Если запрос на авиабилеты или РЖД, необходимо запрашивать тарифы у коллег. При условии бронирования - предоставление всей информации о гостях для выписки билетов</t>
  </si>
  <si>
    <t>Не дают информацию вовремя, может быть долгое ожидание ответа</t>
  </si>
  <si>
    <t>Если выкупаются входные билеты на офиц. сайте, то оплата происходит с банковской карты или черезх получение наличных в кассе</t>
  </si>
  <si>
    <t>Если клиент не из РФ, самостоятельно выставляю счет в дирхамах/долларах от компании ASM Tourism (для всех партнеров кроме Al Rais)</t>
  </si>
  <si>
    <t>Если клиент не из РФ, прошу выставить счет в дирхамах/долларах бухгалтера Al Khalidia (преимущественно партнер - Al Rais)</t>
  </si>
  <si>
    <t>Нехватка времени + отсутствие необходимого опыта выставления счетов</t>
  </si>
  <si>
    <t>Отсутствие информации, выпрашивание документов от поставщиков (задержка ответа с их стороны)</t>
  </si>
  <si>
    <t>Сверка предоставленных актов об оказании услуг</t>
  </si>
  <si>
    <t>Зависимость от других отделов + отсутствие информации</t>
  </si>
  <si>
    <t>Консультирую клиентов по вопросам въезда в РФ / процесс оформления визы для ин. граждан</t>
  </si>
  <si>
    <t>Для групповых турпакетов - отсутствие групповых тарифов с отелями, для индивидуальных - также отсутствие достаточного количества FIT договоров с бюджетными отелями</t>
  </si>
  <si>
    <t>Другое: у некоторых поставщиков постоплата услуг, поэтому иногда появляется потребность просить коллег из IT отдела открыть заявку, чтобы внести все расходы</t>
  </si>
  <si>
    <t>Когда заявка автоматически закрывается, ставится задача коллегам, чтобы они ее открыли для внесения изменений.</t>
  </si>
  <si>
    <t>Если счет от Al Khalidiah - то запрашиваю информацию у них, если от ASM Tourism - у Назариковой М.В.</t>
  </si>
  <si>
    <t>Предоставляю закрывающие документы по оплаченным счетам от поставщиков бухгалтерии</t>
  </si>
  <si>
    <t>Не дают информацию вовремя поставщики</t>
  </si>
  <si>
    <t>Разрабатываю программу тура (дополнительно к смете), отправляю предложение клиенту</t>
  </si>
  <si>
    <t>Вероятность долгого ожидания ответа</t>
  </si>
  <si>
    <t>Нехватка времени + незнание платформы на 100%</t>
  </si>
  <si>
    <t>Не дают информацию вовремя. Указанное время выполнения только при наличии всех данных для сметы</t>
  </si>
  <si>
    <t>Обращаюсь к коллегам за достоверной информацией по вопросу оформления ин. гражданам визы в РФ, но, коллеги также не всегда владеют этой информацией. Или просят разобраться самостоятельно. Переручение с их стороны этой задачи</t>
  </si>
  <si>
    <t>Снижение количества ошибок + перераспределение задач</t>
  </si>
  <si>
    <t>Потеря контроля + снижение качества</t>
  </si>
  <si>
    <t>Другое: прекращение сотрудничества</t>
  </si>
  <si>
    <t>Другое: прекращение сотрудничества, нарушение договорных обязательств</t>
  </si>
  <si>
    <t>Другое: счет выставлен не на правильную сумму</t>
  </si>
  <si>
    <t>Другое: счет выставлен не на правильную сумму, ошибка в реквизитах компании</t>
  </si>
  <si>
    <t>Другое: отказ в визе туристу</t>
  </si>
  <si>
    <t>Официальный сайт МИД РФ</t>
  </si>
  <si>
    <t>Заключаю договора с поставщиками, согласовываю условия договора, обеспечиваю их заключение</t>
  </si>
  <si>
    <t>Если клиент из РФ, прошу выставить счет в рублях коллег из Бухгалтерии. Предоставляю данные на кого выставить, по какой заявке и на какую сумму</t>
  </si>
  <si>
    <t>Работа напрямую с поставщиками</t>
  </si>
  <si>
    <t>Другое: ошибка в дате/ФИО и т.п. в бронирование</t>
  </si>
  <si>
    <t>Официальный сайты точек посещения, контактные данные отелей</t>
  </si>
  <si>
    <t>Outlook, шаблон ваучера, база гидов</t>
  </si>
  <si>
    <t>Само-инкаминг, использование шаблона счета компании</t>
  </si>
  <si>
    <t>Доступ к системе, шаблон заполнения заявок</t>
  </si>
  <si>
    <t>Доступ к системе, инструкция по работе</t>
  </si>
  <si>
    <t>Сокращение времени выполнения + обучение работе в системе</t>
  </si>
  <si>
    <t>Другое: неверно проставленные суммы</t>
  </si>
  <si>
    <t>Запрашиваю выставление счета клиенту от компании Al Khalidia</t>
  </si>
  <si>
    <t>Запрашиваю выставление счета клиенту от компании Спейс Тревел</t>
  </si>
  <si>
    <t>Передаю в оплату счета бухгалтерии</t>
  </si>
  <si>
    <t>Отправляю письмо с информацией о необходимости оплатить счет, вношу счета в invoice трекер</t>
  </si>
  <si>
    <t>Invoice tracker, Само-тур, outlook</t>
  </si>
  <si>
    <t>Первоначально согласование договоров с юристом компании и финансистами</t>
  </si>
  <si>
    <t>Шаблон договоров, реквизиты компании</t>
  </si>
  <si>
    <t>Outlook</t>
  </si>
  <si>
    <t>Другое: работа под запрос с поставщиками</t>
  </si>
  <si>
    <t>Сервер компании, база готовых программ</t>
  </si>
  <si>
    <t>туристические порталы, GPT</t>
  </si>
  <si>
    <t>Сайты поставщиков, онлайн-агрегаторы, outlook</t>
  </si>
  <si>
    <t>База контактов поставщиков, outlook</t>
  </si>
  <si>
    <t>Outlook, Само-тур, Само-инкаминг, шаблон ваучера</t>
  </si>
  <si>
    <t>Контакты для связи</t>
  </si>
  <si>
    <t>База данных (соглашение о тарифах), деловые контакты/связь с партнерами, сервер компании, база готовых программ</t>
  </si>
  <si>
    <t>Отраслевые выставки, личные встречи</t>
  </si>
  <si>
    <t>Поддерживаю отношения с партнерами и поставщиками, ищу новых поставщиков (увеличивая базу данных)</t>
  </si>
  <si>
    <t>Шаблон деловой коммуникации, личный опыт сотрудничества и взаимодействия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</si>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</sst>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0" fontId="8" fillId="0" borderId="0" xfId="0" applyFont="1"/>
    <xf numFmtId="0" fontId="10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2" fillId="0" borderId="0" xfId="0" applyFont="1"/>
    <xf numFmtId="0" fontId="5" fillId="4" borderId="1" xfId="0" applyFont="1" applyFill="1" applyBorder="1"/>
    <xf numFmtId="0" fontId="5" fillId="3" borderId="1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5" fillId="6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15" fillId="6" borderId="7" xfId="0" applyFont="1" applyFill="1" applyBorder="1" applyAlignment="1">
      <alignment horizontal="center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7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0" fillId="0" borderId="0" xfId="0" applyFont="1"/>
    <xf numFmtId="0" fontId="5" fillId="0" borderId="9" xfId="0" applyFont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3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5" fillId="3" borderId="11" xfId="0" applyFont="1" applyFill="1" applyBorder="1" applyAlignment="1">
      <alignment vertical="top" wrapText="1"/>
    </xf>
    <xf numFmtId="0" fontId="5" fillId="4" borderId="11" xfId="0" applyFont="1" applyFill="1" applyBorder="1" applyAlignment="1">
      <alignment vertical="top" wrapText="1"/>
    </xf>
    <xf numFmtId="0" fontId="0" fillId="0" borderId="6" xfId="0" applyBorder="1"/>
    <xf numFmtId="0" fontId="5" fillId="4" borderId="12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13" fillId="0" borderId="11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 wrapText="1"/>
    </xf>
    <xf numFmtId="0" fontId="15" fillId="6" borderId="9" xfId="0" applyFont="1" applyFill="1" applyBorder="1" applyAlignment="1">
      <alignment horizontal="center" vertical="top" wrapText="1"/>
    </xf>
    <xf numFmtId="0" fontId="1" fillId="0" borderId="0" xfId="0" applyFont="1"/>
    <xf numFmtId="0" fontId="8" fillId="0" borderId="0" xfId="0" applyFont="1"/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217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218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219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43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217</v>
      </c>
    </row>
    <row r="40" spans="1:2" ht="15.75" customHeight="1" x14ac:dyDescent="0.25">
      <c r="B40" s="24" t="s">
        <v>56</v>
      </c>
    </row>
    <row r="41" spans="1:2" ht="15.75" customHeight="1" x14ac:dyDescent="0.25">
      <c r="B41" s="43" t="s">
        <v>135</v>
      </c>
    </row>
    <row r="42" spans="1:2" ht="15.75" customHeight="1" x14ac:dyDescent="0.25">
      <c r="B42" t="s">
        <v>220</v>
      </c>
    </row>
    <row r="43" spans="1:2" ht="15.75" customHeight="1" x14ac:dyDescent="0.25">
      <c r="B43" t="s">
        <v>221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8"/>
  <sheetViews>
    <sheetView tabSelected="1" zoomScale="60" zoomScaleNormal="6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J12" activeCellId="4" sqref="C5 R11:R31 P11:P31 N11:N31 J11:J31 L11:L31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46" t="s">
        <v>74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8"/>
    </row>
    <row r="3" spans="1:26" x14ac:dyDescent="0.25">
      <c r="B3" s="3" t="s">
        <v>75</v>
      </c>
      <c r="C3" s="49" t="s">
        <v>137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</row>
    <row r="4" spans="1:26" x14ac:dyDescent="0.25">
      <c r="B4" s="3" t="s">
        <v>76</v>
      </c>
      <c r="C4" s="50" t="s">
        <v>117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</row>
    <row r="5" spans="1:26" x14ac:dyDescent="0.25">
      <c r="B5" s="3" t="s">
        <v>77</v>
      </c>
      <c r="C5" s="50" t="s">
        <v>127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8"/>
    </row>
    <row r="6" spans="1:26" x14ac:dyDescent="0.25">
      <c r="B6" s="3" t="s">
        <v>78</v>
      </c>
      <c r="C6" s="49" t="s">
        <v>136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8"/>
    </row>
    <row r="8" spans="1:26" ht="15.75" x14ac:dyDescent="0.25">
      <c r="A8" s="51" t="s">
        <v>79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40" t="s">
        <v>108</v>
      </c>
      <c r="S10" s="41" t="s">
        <v>109</v>
      </c>
      <c r="T10" s="42"/>
      <c r="U10" s="42"/>
      <c r="V10" s="42" t="s">
        <v>111</v>
      </c>
      <c r="W10" s="42"/>
      <c r="X10" s="42"/>
      <c r="Y10" s="22"/>
      <c r="Z10" s="22"/>
    </row>
    <row r="11" spans="1:26" ht="120.75" customHeight="1" x14ac:dyDescent="0.25">
      <c r="A11" s="6">
        <v>1</v>
      </c>
      <c r="B11" s="13" t="s">
        <v>141</v>
      </c>
      <c r="C11" s="14" t="s">
        <v>11</v>
      </c>
      <c r="D11" s="14" t="s">
        <v>12</v>
      </c>
      <c r="E11" s="15" t="s">
        <v>13</v>
      </c>
      <c r="F11" s="13">
        <v>20</v>
      </c>
      <c r="G11" s="7" t="s">
        <v>15</v>
      </c>
      <c r="H11" s="7"/>
      <c r="I11" s="7"/>
      <c r="J11" s="8" t="s">
        <v>71</v>
      </c>
      <c r="K11" s="7" t="s">
        <v>158</v>
      </c>
      <c r="L11" s="8"/>
      <c r="M11" s="7"/>
      <c r="N11" s="8"/>
      <c r="O11" s="7"/>
      <c r="P11" s="8"/>
      <c r="Q11" s="39"/>
      <c r="R11" s="33"/>
      <c r="S11" s="32"/>
      <c r="T11" s="32" t="s">
        <v>157</v>
      </c>
      <c r="U11" s="32" t="s">
        <v>156</v>
      </c>
      <c r="V11" s="33" t="s">
        <v>31</v>
      </c>
      <c r="W11" s="32" t="s">
        <v>179</v>
      </c>
      <c r="X11" s="32" t="s">
        <v>180</v>
      </c>
    </row>
    <row r="12" spans="1:26" ht="123.75" customHeight="1" x14ac:dyDescent="0.25">
      <c r="A12" s="6">
        <v>2</v>
      </c>
      <c r="B12" s="13" t="s">
        <v>142</v>
      </c>
      <c r="C12" s="14" t="s">
        <v>11</v>
      </c>
      <c r="D12" s="14" t="s">
        <v>12</v>
      </c>
      <c r="E12" s="15" t="s">
        <v>13</v>
      </c>
      <c r="F12" s="13">
        <v>40</v>
      </c>
      <c r="G12" s="7" t="s">
        <v>15</v>
      </c>
      <c r="H12" s="7"/>
      <c r="I12" s="7"/>
      <c r="J12" s="8" t="s">
        <v>71</v>
      </c>
      <c r="K12" s="7" t="s">
        <v>158</v>
      </c>
      <c r="L12" s="8"/>
      <c r="M12" s="7"/>
      <c r="N12" s="8"/>
      <c r="O12" s="7"/>
      <c r="P12" s="8"/>
      <c r="Q12" s="39"/>
      <c r="R12" s="33"/>
      <c r="S12" s="32"/>
      <c r="T12" s="32" t="s">
        <v>157</v>
      </c>
      <c r="U12" s="32" t="s">
        <v>155</v>
      </c>
      <c r="V12" s="33" t="s">
        <v>31</v>
      </c>
      <c r="W12" s="32" t="s">
        <v>179</v>
      </c>
      <c r="X12" s="32" t="s">
        <v>180</v>
      </c>
    </row>
    <row r="13" spans="1:26" ht="120" customHeight="1" x14ac:dyDescent="0.25">
      <c r="A13" s="6">
        <v>3</v>
      </c>
      <c r="B13" s="13" t="s">
        <v>143</v>
      </c>
      <c r="C13" s="8" t="s">
        <v>11</v>
      </c>
      <c r="D13" s="8" t="s">
        <v>21</v>
      </c>
      <c r="E13" s="8" t="s">
        <v>22</v>
      </c>
      <c r="F13" s="7">
        <v>60</v>
      </c>
      <c r="G13" s="7" t="s">
        <v>15</v>
      </c>
      <c r="H13" s="7" t="s">
        <v>177</v>
      </c>
      <c r="I13" s="7" t="s">
        <v>26</v>
      </c>
      <c r="J13" s="8" t="s">
        <v>71</v>
      </c>
      <c r="K13" s="7" t="s">
        <v>158</v>
      </c>
      <c r="L13" s="8"/>
      <c r="M13" s="7"/>
      <c r="N13" s="8"/>
      <c r="O13" s="7"/>
      <c r="P13" s="8"/>
      <c r="Q13" s="39"/>
      <c r="R13" s="33"/>
      <c r="S13" s="32"/>
      <c r="T13" s="32" t="s">
        <v>157</v>
      </c>
      <c r="U13" s="32" t="s">
        <v>189</v>
      </c>
      <c r="V13" s="33" t="s">
        <v>31</v>
      </c>
      <c r="W13" s="32" t="s">
        <v>179</v>
      </c>
      <c r="X13" s="32" t="s">
        <v>180</v>
      </c>
    </row>
    <row r="14" spans="1:26" ht="96" customHeight="1" x14ac:dyDescent="0.25">
      <c r="A14" s="6">
        <v>4</v>
      </c>
      <c r="B14" s="7" t="s">
        <v>144</v>
      </c>
      <c r="C14" s="8" t="s">
        <v>11</v>
      </c>
      <c r="D14" s="8" t="s">
        <v>21</v>
      </c>
      <c r="E14" s="8" t="s">
        <v>46</v>
      </c>
      <c r="F14" s="7">
        <v>60</v>
      </c>
      <c r="G14" s="7" t="s">
        <v>15</v>
      </c>
      <c r="H14" s="7" t="s">
        <v>159</v>
      </c>
      <c r="I14" s="7"/>
      <c r="J14" s="8" t="s">
        <v>114</v>
      </c>
      <c r="K14" s="7" t="s">
        <v>160</v>
      </c>
      <c r="L14" s="8"/>
      <c r="M14" s="7"/>
      <c r="N14" s="8"/>
      <c r="O14" s="7"/>
      <c r="P14" s="8"/>
      <c r="Q14" s="7"/>
      <c r="R14" s="15"/>
      <c r="S14" s="13"/>
      <c r="T14" s="13" t="s">
        <v>192</v>
      </c>
      <c r="U14" s="13" t="s">
        <v>191</v>
      </c>
      <c r="V14" s="15" t="s">
        <v>31</v>
      </c>
      <c r="W14" s="13" t="s">
        <v>27</v>
      </c>
      <c r="X14" s="13" t="s">
        <v>190</v>
      </c>
    </row>
    <row r="15" spans="1:26" ht="59.25" customHeight="1" x14ac:dyDescent="0.25">
      <c r="A15" s="6">
        <v>5</v>
      </c>
      <c r="B15" s="7" t="s">
        <v>199</v>
      </c>
      <c r="C15" s="8" t="s">
        <v>11</v>
      </c>
      <c r="D15" s="8" t="s">
        <v>38</v>
      </c>
      <c r="E15" s="8" t="s">
        <v>46</v>
      </c>
      <c r="F15" s="7">
        <v>5</v>
      </c>
      <c r="G15" s="7" t="s">
        <v>15</v>
      </c>
      <c r="H15" s="7"/>
      <c r="I15" s="7"/>
      <c r="J15" s="8" t="s">
        <v>114</v>
      </c>
      <c r="K15" s="7" t="s">
        <v>188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14</v>
      </c>
      <c r="W15" s="7"/>
      <c r="X15" s="7" t="s">
        <v>183</v>
      </c>
    </row>
    <row r="16" spans="1:26" ht="101.25" customHeight="1" x14ac:dyDescent="0.25">
      <c r="A16" s="6">
        <v>6</v>
      </c>
      <c r="B16" s="7" t="s">
        <v>198</v>
      </c>
      <c r="C16" s="8" t="s">
        <v>11</v>
      </c>
      <c r="D16" s="8" t="s">
        <v>29</v>
      </c>
      <c r="E16" s="8" t="s">
        <v>46</v>
      </c>
      <c r="F16" s="7">
        <v>5</v>
      </c>
      <c r="G16" s="7" t="s">
        <v>15</v>
      </c>
      <c r="H16" s="7"/>
      <c r="I16" s="7"/>
      <c r="J16" s="8"/>
      <c r="K16" s="38" t="s">
        <v>162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/>
      <c r="X16" s="7" t="s">
        <v>183</v>
      </c>
    </row>
    <row r="17" spans="1:24" ht="114" customHeight="1" x14ac:dyDescent="0.25">
      <c r="A17" s="6">
        <v>7</v>
      </c>
      <c r="B17" s="7" t="s">
        <v>145</v>
      </c>
      <c r="C17" s="8" t="s">
        <v>20</v>
      </c>
      <c r="D17" s="8" t="s">
        <v>29</v>
      </c>
      <c r="E17" s="8" t="s">
        <v>46</v>
      </c>
      <c r="F17" s="7">
        <v>30</v>
      </c>
      <c r="G17" s="7" t="s">
        <v>15</v>
      </c>
      <c r="H17" s="7" t="s">
        <v>16</v>
      </c>
      <c r="I17" s="7" t="s">
        <v>163</v>
      </c>
      <c r="J17" s="8"/>
      <c r="K17" s="7" t="s">
        <v>161</v>
      </c>
      <c r="L17" s="8"/>
      <c r="M17" s="7"/>
      <c r="N17" s="8"/>
      <c r="O17" s="7"/>
      <c r="P17" s="8"/>
      <c r="Q17" s="7"/>
      <c r="R17" s="8"/>
      <c r="S17" s="7"/>
      <c r="T17" s="7" t="s">
        <v>193</v>
      </c>
      <c r="U17" s="7"/>
      <c r="V17" s="8" t="s">
        <v>31</v>
      </c>
      <c r="W17" s="7" t="s">
        <v>18</v>
      </c>
      <c r="X17" s="7" t="s">
        <v>184</v>
      </c>
    </row>
    <row r="18" spans="1:24" ht="95.25" customHeight="1" x14ac:dyDescent="0.25">
      <c r="A18" s="6">
        <v>8</v>
      </c>
      <c r="B18" s="7" t="s">
        <v>146</v>
      </c>
      <c r="C18" s="8" t="s">
        <v>11</v>
      </c>
      <c r="D18" s="8" t="s">
        <v>21</v>
      </c>
      <c r="E18" s="8" t="s">
        <v>46</v>
      </c>
      <c r="F18" s="7">
        <v>15</v>
      </c>
      <c r="G18" s="7" t="s">
        <v>15</v>
      </c>
      <c r="H18" s="7" t="s">
        <v>169</v>
      </c>
      <c r="I18" s="7"/>
      <c r="J18" s="8" t="s">
        <v>56</v>
      </c>
      <c r="K18" s="7" t="s">
        <v>170</v>
      </c>
      <c r="L18" s="8"/>
      <c r="M18" s="7"/>
      <c r="N18" s="8"/>
      <c r="O18" s="7"/>
      <c r="P18" s="8"/>
      <c r="Q18" s="7"/>
      <c r="R18" s="8"/>
      <c r="S18" s="7"/>
      <c r="T18" s="7" t="s">
        <v>194</v>
      </c>
      <c r="U18" s="7"/>
      <c r="V18" s="8" t="s">
        <v>31</v>
      </c>
      <c r="W18" s="7"/>
      <c r="X18" s="7" t="s">
        <v>197</v>
      </c>
    </row>
    <row r="19" spans="1:24" ht="72.75" customHeight="1" x14ac:dyDescent="0.25">
      <c r="A19" s="6">
        <v>9</v>
      </c>
      <c r="B19" s="7" t="s">
        <v>147</v>
      </c>
      <c r="C19" s="8" t="s">
        <v>20</v>
      </c>
      <c r="D19" s="8" t="s">
        <v>21</v>
      </c>
      <c r="E19" s="8" t="s">
        <v>46</v>
      </c>
      <c r="F19" s="7">
        <v>30</v>
      </c>
      <c r="G19" s="7" t="s">
        <v>15</v>
      </c>
      <c r="H19" s="7" t="s">
        <v>16</v>
      </c>
      <c r="I19" s="7" t="s">
        <v>176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195</v>
      </c>
      <c r="U19" s="7"/>
      <c r="V19" s="8" t="s">
        <v>23</v>
      </c>
      <c r="W19" s="7" t="s">
        <v>196</v>
      </c>
      <c r="X19" s="7" t="s">
        <v>197</v>
      </c>
    </row>
    <row r="20" spans="1:24" ht="65.25" customHeight="1" x14ac:dyDescent="0.25">
      <c r="A20" s="6">
        <v>10</v>
      </c>
      <c r="B20" s="7" t="s">
        <v>200</v>
      </c>
      <c r="C20" s="8" t="s">
        <v>11</v>
      </c>
      <c r="D20" s="8" t="s">
        <v>21</v>
      </c>
      <c r="E20" s="8" t="s">
        <v>46</v>
      </c>
      <c r="F20" s="7">
        <v>2</v>
      </c>
      <c r="G20" s="7" t="s">
        <v>15</v>
      </c>
      <c r="H20" s="7"/>
      <c r="I20" s="7"/>
      <c r="J20" s="8" t="s">
        <v>128</v>
      </c>
      <c r="K20" s="7" t="s">
        <v>201</v>
      </c>
      <c r="L20" s="8"/>
      <c r="M20" s="7"/>
      <c r="N20" s="8"/>
      <c r="O20" s="7"/>
      <c r="P20" s="8"/>
      <c r="Q20" s="7"/>
      <c r="R20" s="8"/>
      <c r="S20" s="7"/>
      <c r="T20" s="7" t="s">
        <v>202</v>
      </c>
      <c r="U20" s="7"/>
      <c r="V20" s="8" t="s">
        <v>23</v>
      </c>
      <c r="W20" s="7"/>
      <c r="X20" s="7" t="s">
        <v>51</v>
      </c>
    </row>
    <row r="21" spans="1:24" ht="102" customHeight="1" x14ac:dyDescent="0.25">
      <c r="A21" s="6">
        <v>11</v>
      </c>
      <c r="B21" s="7" t="s">
        <v>187</v>
      </c>
      <c r="C21" s="8" t="s">
        <v>20</v>
      </c>
      <c r="D21" s="8" t="s">
        <v>29</v>
      </c>
      <c r="E21" s="8" t="s">
        <v>46</v>
      </c>
      <c r="F21" s="7">
        <v>1440</v>
      </c>
      <c r="G21" s="7" t="s">
        <v>151</v>
      </c>
      <c r="H21" s="7" t="s">
        <v>16</v>
      </c>
      <c r="I21" s="7" t="s">
        <v>150</v>
      </c>
      <c r="J21" s="8"/>
      <c r="K21" s="7" t="s">
        <v>203</v>
      </c>
      <c r="L21" s="8"/>
      <c r="M21" s="7"/>
      <c r="N21" s="8"/>
      <c r="O21" s="7"/>
      <c r="P21" s="8"/>
      <c r="Q21" s="7"/>
      <c r="R21" s="8"/>
      <c r="S21" s="7"/>
      <c r="T21" s="7" t="s">
        <v>204</v>
      </c>
      <c r="U21" s="7"/>
      <c r="V21" s="8" t="s">
        <v>23</v>
      </c>
      <c r="W21" s="7"/>
      <c r="X21" s="7" t="s">
        <v>182</v>
      </c>
    </row>
    <row r="22" spans="1:24" ht="80.25" customHeight="1" x14ac:dyDescent="0.25">
      <c r="A22" s="6">
        <v>12</v>
      </c>
      <c r="B22" s="7" t="s">
        <v>138</v>
      </c>
      <c r="C22" s="8" t="s">
        <v>11</v>
      </c>
      <c r="D22" s="8" t="s">
        <v>29</v>
      </c>
      <c r="E22" s="8" t="s">
        <v>46</v>
      </c>
      <c r="F22" s="7">
        <v>5</v>
      </c>
      <c r="G22" s="7"/>
      <c r="H22" s="7"/>
      <c r="I22" s="7"/>
      <c r="J22" s="8"/>
      <c r="K22" s="7" t="s">
        <v>171</v>
      </c>
      <c r="L22" s="8"/>
      <c r="M22" s="7"/>
      <c r="N22" s="8"/>
      <c r="O22" s="7"/>
      <c r="P22" s="8"/>
      <c r="Q22" s="7"/>
      <c r="R22" s="8"/>
      <c r="S22" s="7"/>
      <c r="T22" s="7" t="s">
        <v>205</v>
      </c>
      <c r="U22" s="7"/>
      <c r="V22" s="8" t="s">
        <v>14</v>
      </c>
      <c r="W22" s="7"/>
      <c r="X22" s="7"/>
    </row>
    <row r="23" spans="1:24" ht="81.75" customHeight="1" x14ac:dyDescent="0.25">
      <c r="A23" s="6">
        <v>13</v>
      </c>
      <c r="B23" s="7" t="s">
        <v>172</v>
      </c>
      <c r="C23" s="8" t="s">
        <v>11</v>
      </c>
      <c r="D23" s="8" t="s">
        <v>29</v>
      </c>
      <c r="E23" s="8" t="s">
        <v>39</v>
      </c>
      <c r="F23" s="7">
        <v>1440</v>
      </c>
      <c r="G23" s="7" t="s">
        <v>206</v>
      </c>
      <c r="H23" s="7" t="s">
        <v>173</v>
      </c>
      <c r="I23" s="7" t="s">
        <v>164</v>
      </c>
      <c r="J23" s="8" t="s">
        <v>114</v>
      </c>
      <c r="K23" s="7" t="s">
        <v>165</v>
      </c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14</v>
      </c>
      <c r="W23" s="7"/>
      <c r="X23" s="7"/>
    </row>
    <row r="24" spans="1:24" ht="50.25" customHeight="1" x14ac:dyDescent="0.25">
      <c r="A24" s="6">
        <v>14</v>
      </c>
      <c r="B24" s="7" t="s">
        <v>174</v>
      </c>
      <c r="C24" s="8" t="s">
        <v>11</v>
      </c>
      <c r="D24" s="8" t="s">
        <v>12</v>
      </c>
      <c r="E24" s="8" t="s">
        <v>13</v>
      </c>
      <c r="F24" s="7">
        <v>60</v>
      </c>
      <c r="G24" s="7" t="s">
        <v>151</v>
      </c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 t="s">
        <v>207</v>
      </c>
      <c r="U24" s="7" t="s">
        <v>208</v>
      </c>
      <c r="V24" s="8" t="s">
        <v>31</v>
      </c>
      <c r="W24" s="7"/>
      <c r="X24" s="7"/>
    </row>
    <row r="25" spans="1:24" ht="62.25" customHeight="1" x14ac:dyDescent="0.25">
      <c r="A25" s="28">
        <v>15</v>
      </c>
      <c r="B25" s="29" t="s">
        <v>148</v>
      </c>
      <c r="C25" s="30" t="s">
        <v>11</v>
      </c>
      <c r="D25" s="30" t="s">
        <v>12</v>
      </c>
      <c r="E25" s="30" t="s">
        <v>13</v>
      </c>
      <c r="F25" s="29">
        <v>15</v>
      </c>
      <c r="G25" s="29" t="s">
        <v>15</v>
      </c>
      <c r="H25" s="29"/>
      <c r="I25" s="29" t="s">
        <v>175</v>
      </c>
      <c r="J25" s="30"/>
      <c r="K25" s="29"/>
      <c r="L25" s="8"/>
      <c r="M25" s="7"/>
      <c r="N25" s="8"/>
      <c r="O25" s="7"/>
      <c r="P25" s="8"/>
      <c r="Q25" s="7"/>
      <c r="R25" s="8"/>
      <c r="S25" s="7"/>
      <c r="T25" s="7" t="s">
        <v>210</v>
      </c>
      <c r="U25" s="7" t="s">
        <v>209</v>
      </c>
      <c r="V25" s="8" t="s">
        <v>31</v>
      </c>
      <c r="W25" s="7"/>
      <c r="X25" s="7"/>
    </row>
    <row r="26" spans="1:24" ht="42" customHeight="1" x14ac:dyDescent="0.25">
      <c r="A26" s="31">
        <v>16</v>
      </c>
      <c r="B26" s="29" t="s">
        <v>139</v>
      </c>
      <c r="C26" s="33" t="s">
        <v>11</v>
      </c>
      <c r="D26" s="33" t="s">
        <v>12</v>
      </c>
      <c r="E26" s="33" t="s">
        <v>13</v>
      </c>
      <c r="F26" s="32">
        <v>10</v>
      </c>
      <c r="G26" s="32" t="s">
        <v>152</v>
      </c>
      <c r="H26" s="32" t="s">
        <v>33</v>
      </c>
      <c r="I26" s="32" t="s">
        <v>17</v>
      </c>
      <c r="J26" s="33"/>
      <c r="K26" s="32"/>
      <c r="L26" s="37"/>
      <c r="M26" s="29"/>
      <c r="N26" s="30"/>
      <c r="O26" s="29"/>
      <c r="P26" s="30"/>
      <c r="Q26" s="29"/>
      <c r="R26" s="30"/>
      <c r="S26" s="29"/>
      <c r="T26" s="29" t="s">
        <v>205</v>
      </c>
      <c r="U26" s="29"/>
      <c r="V26" s="30" t="s">
        <v>14</v>
      </c>
      <c r="W26" s="29"/>
      <c r="X26" s="29"/>
    </row>
    <row r="27" spans="1:24" ht="48" customHeight="1" x14ac:dyDescent="0.25">
      <c r="A27" s="31">
        <v>17</v>
      </c>
      <c r="B27" s="32" t="s">
        <v>149</v>
      </c>
      <c r="C27" s="33" t="s">
        <v>11</v>
      </c>
      <c r="D27" s="33" t="s">
        <v>21</v>
      </c>
      <c r="E27" s="33" t="s">
        <v>46</v>
      </c>
      <c r="F27" s="32">
        <v>30</v>
      </c>
      <c r="G27" s="32" t="s">
        <v>152</v>
      </c>
      <c r="H27" s="32"/>
      <c r="I27" s="32"/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32" t="s">
        <v>211</v>
      </c>
      <c r="U27" s="32"/>
      <c r="V27" s="33" t="s">
        <v>31</v>
      </c>
      <c r="W27" s="32" t="s">
        <v>18</v>
      </c>
      <c r="X27" s="32"/>
    </row>
    <row r="28" spans="1:24" ht="78" customHeight="1" x14ac:dyDescent="0.25">
      <c r="A28" s="31">
        <v>18</v>
      </c>
      <c r="B28" s="32" t="s">
        <v>140</v>
      </c>
      <c r="C28" s="33" t="s">
        <v>11</v>
      </c>
      <c r="D28" s="33" t="s">
        <v>29</v>
      </c>
      <c r="E28" s="33" t="s">
        <v>46</v>
      </c>
      <c r="F28" s="32"/>
      <c r="G28" s="32" t="s">
        <v>153</v>
      </c>
      <c r="H28" s="32"/>
      <c r="I28" s="32"/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2" t="s">
        <v>212</v>
      </c>
      <c r="U28" s="32"/>
      <c r="V28" s="33" t="s">
        <v>31</v>
      </c>
      <c r="W28" s="32" t="s">
        <v>53</v>
      </c>
      <c r="X28" s="32" t="s">
        <v>44</v>
      </c>
    </row>
    <row r="29" spans="1:24" ht="189.75" customHeight="1" x14ac:dyDescent="0.25">
      <c r="A29" s="36">
        <v>19</v>
      </c>
      <c r="B29" s="34" t="s">
        <v>167</v>
      </c>
      <c r="C29" s="35" t="s">
        <v>20</v>
      </c>
      <c r="D29" s="35" t="s">
        <v>29</v>
      </c>
      <c r="E29" s="35" t="s">
        <v>46</v>
      </c>
      <c r="F29" s="34">
        <v>20</v>
      </c>
      <c r="G29" s="34" t="s">
        <v>24</v>
      </c>
      <c r="H29" s="34" t="s">
        <v>48</v>
      </c>
      <c r="I29" s="34" t="s">
        <v>166</v>
      </c>
      <c r="J29" s="35" t="s">
        <v>37</v>
      </c>
      <c r="K29" s="34" t="s">
        <v>178</v>
      </c>
      <c r="L29" s="33"/>
      <c r="M29" s="32"/>
      <c r="N29" s="33"/>
      <c r="O29" s="32"/>
      <c r="P29" s="33"/>
      <c r="Q29" s="32"/>
      <c r="R29" s="33"/>
      <c r="S29" s="32"/>
      <c r="T29" s="32"/>
      <c r="U29" s="32" t="s">
        <v>186</v>
      </c>
      <c r="V29" s="33" t="s">
        <v>14</v>
      </c>
      <c r="W29" s="32" t="s">
        <v>43</v>
      </c>
      <c r="X29" s="32" t="s">
        <v>185</v>
      </c>
    </row>
    <row r="30" spans="1:24" ht="68.25" customHeight="1" x14ac:dyDescent="0.25">
      <c r="A30" s="36">
        <v>20</v>
      </c>
      <c r="B30" s="32" t="s">
        <v>215</v>
      </c>
      <c r="C30" s="33" t="s">
        <v>11</v>
      </c>
      <c r="D30" s="33" t="s">
        <v>29</v>
      </c>
      <c r="E30" s="33" t="s">
        <v>30</v>
      </c>
      <c r="F30" s="32"/>
      <c r="G30" s="32" t="s">
        <v>47</v>
      </c>
      <c r="H30" s="32"/>
      <c r="I30" s="32"/>
      <c r="J30" s="33"/>
      <c r="K30" s="32"/>
      <c r="L30" s="33"/>
      <c r="M30" s="32"/>
      <c r="N30" s="33"/>
      <c r="O30" s="32"/>
      <c r="P30" s="33"/>
      <c r="Q30" s="32"/>
      <c r="R30" s="33"/>
      <c r="S30" s="32"/>
      <c r="T30" s="32" t="s">
        <v>216</v>
      </c>
      <c r="U30" s="32" t="s">
        <v>214</v>
      </c>
      <c r="V30" s="33" t="s">
        <v>14</v>
      </c>
      <c r="W30" s="32"/>
      <c r="X30" s="32" t="s">
        <v>181</v>
      </c>
    </row>
    <row r="31" spans="1:24" ht="95.25" customHeight="1" x14ac:dyDescent="0.25">
      <c r="A31" s="36">
        <v>21</v>
      </c>
      <c r="B31" s="32" t="s">
        <v>154</v>
      </c>
      <c r="C31" s="33" t="s">
        <v>20</v>
      </c>
      <c r="D31" s="33" t="s">
        <v>29</v>
      </c>
      <c r="E31" s="33" t="s">
        <v>46</v>
      </c>
      <c r="F31" s="32">
        <v>1440</v>
      </c>
      <c r="G31" s="32" t="s">
        <v>152</v>
      </c>
      <c r="H31" s="32" t="s">
        <v>168</v>
      </c>
      <c r="I31" s="32"/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32" t="s">
        <v>213</v>
      </c>
      <c r="U31" s="32" t="s">
        <v>208</v>
      </c>
      <c r="V31" s="33" t="s">
        <v>23</v>
      </c>
      <c r="W31" s="32"/>
      <c r="X31" s="32" t="s">
        <v>180</v>
      </c>
    </row>
    <row r="32" spans="1:24" ht="39.75" customHeight="1" x14ac:dyDescent="0.25"/>
    <row r="33" spans="1:5" ht="15.75" customHeight="1" x14ac:dyDescent="0.25">
      <c r="A33" s="9" t="s">
        <v>103</v>
      </c>
    </row>
    <row r="34" spans="1:5" ht="15.75" customHeight="1" x14ac:dyDescent="0.25">
      <c r="A34" s="10" t="s">
        <v>104</v>
      </c>
      <c r="B34" s="44" t="e">
        <f ca="1">Выпадающий список(ТОЛЬКО из списка)</f>
        <v>#NAME?</v>
      </c>
      <c r="C34" s="45"/>
      <c r="D34" s="45"/>
      <c r="E34" s="45"/>
    </row>
    <row r="35" spans="1:5" ht="15.75" customHeight="1" x14ac:dyDescent="0.25">
      <c r="A35" s="11" t="s">
        <v>105</v>
      </c>
      <c r="B35" s="44" t="e">
        <f>Можно выбрать из списка ИЛИ написать своё</f>
        <v>#NAME?</v>
      </c>
      <c r="C35" s="45"/>
      <c r="D35" s="45"/>
      <c r="E35" s="45"/>
    </row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8">
    <mergeCell ref="B34:E34"/>
    <mergeCell ref="B35:E35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E11:E31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G11:G31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V11:V31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I11:I31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D11:D31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C11:C31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H11:H31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W11:W31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X11:X31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R11:R31 P11:P31 N11:N31 J11:J31 L11:L31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2026-01-26T07:51:39Z</dcterms:modified>
</cp:coreProperties>
</file>