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lineo\OneDrive\Desktop\Новая папка (3)\"/>
    </mc:Choice>
  </mc:AlternateContent>
  <xr:revisionPtr revIDLastSave="0" documentId="13_ncr:1_{C5D6820D-A13F-4FFB-ADFC-F5863D30D639}" xr6:coauthVersionLast="47" xr6:coauthVersionMax="47" xr10:uidLastSave="{00000000-0000-0000-0000-000000000000}"/>
  <bookViews>
    <workbookView xWindow="28680" yWindow="-120" windowWidth="29040" windowHeight="15720" activeTab="1" xr2:uid="{00000000-000D-0000-FFFF-FFFF00000000}"/>
  </bookViews>
  <sheets>
    <sheet name="Справочники" sheetId="1" r:id="rId1"/>
    <sheet name="ШАБЛОН"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wL3GsrNzf3Ml5vfv6VC+AHKHkiSu3m0ubyksZ1X6ZxM="/>
    </ext>
  </extLst>
</workbook>
</file>

<file path=xl/calcChain.xml><?xml version="1.0" encoding="utf-8"?>
<calcChain xmlns="http://schemas.openxmlformats.org/spreadsheetml/2006/main">
  <c r="B29" i="2" l="1"/>
  <c r="B28" i="2"/>
</calcChain>
</file>

<file path=xl/sharedStrings.xml><?xml version="1.0" encoding="utf-8"?>
<sst xmlns="http://schemas.openxmlformats.org/spreadsheetml/2006/main" count="263" uniqueCount="175">
  <si>
    <t>ДЕПАРТАМЕНТЫ</t>
  </si>
  <si>
    <t>ОТДЕЛЫ</t>
  </si>
  <si>
    <t>Тип задачи</t>
  </si>
  <si>
    <t>Уровень рутинности</t>
  </si>
  <si>
    <t>Регулярность</t>
  </si>
  <si>
    <t>Приоритет автоматизации</t>
  </si>
  <si>
    <t>Характер задачи (подсказка)</t>
  </si>
  <si>
    <t>Проблема (подсказка)</t>
  </si>
  <si>
    <t>Причина проблемы (подсказка)</t>
  </si>
  <si>
    <t>Ожидаемые результаты (подсказка)</t>
  </si>
  <si>
    <t>Риски (подсказка)</t>
  </si>
  <si>
    <t>Рутинная задача</t>
  </si>
  <si>
    <t>Очень высокий</t>
  </si>
  <si>
    <t>Ежедневно</t>
  </si>
  <si>
    <t>1</t>
  </si>
  <si>
    <t>Ручной ввод данных</t>
  </si>
  <si>
    <t>Не успеваете</t>
  </si>
  <si>
    <t>Нехватка времени</t>
  </si>
  <si>
    <t>Сокращение времени выполнения</t>
  </si>
  <si>
    <t>Снижение качества</t>
  </si>
  <si>
    <t>Проблемная задача</t>
  </si>
  <si>
    <t>Высокий</t>
  </si>
  <si>
    <t>Еженедельно</t>
  </si>
  <si>
    <t>2</t>
  </si>
  <si>
    <t>Обработка текстов</t>
  </si>
  <si>
    <t>Пропускаете</t>
  </si>
  <si>
    <t>Отсутствие информации</t>
  </si>
  <si>
    <t>Снижение количества ошибок</t>
  </si>
  <si>
    <t>Утечка данных</t>
  </si>
  <si>
    <t>Средний</t>
  </si>
  <si>
    <t>Ежемесячно</t>
  </si>
  <si>
    <t>3</t>
  </si>
  <si>
    <t>Обработка изображений</t>
  </si>
  <si>
    <t>Забываете</t>
  </si>
  <si>
    <t>Сложность задачи</t>
  </si>
  <si>
    <t>Освобождение времени для важных задач</t>
  </si>
  <si>
    <t>Сложность настройки</t>
  </si>
  <si>
    <t>Группа визового сопровождения</t>
  </si>
  <si>
    <t>Низкий</t>
  </si>
  <si>
    <t>Ежеквартально</t>
  </si>
  <si>
    <t>Обработка голосовой информации</t>
  </si>
  <si>
    <t>Не дают информацию вовремя</t>
  </si>
  <si>
    <t>Зависимость от других отделов</t>
  </si>
  <si>
    <t>Повышение качества обслуживания клиентов</t>
  </si>
  <si>
    <t>Потеря контроля</t>
  </si>
  <si>
    <t>Отдел бизнес-тревел</t>
  </si>
  <si>
    <t>По запросу</t>
  </si>
  <si>
    <t>Другое</t>
  </si>
  <si>
    <t>Трудно получить информацию</t>
  </si>
  <si>
    <t>Технические проблемы</t>
  </si>
  <si>
    <t>Упрощение коммуникаций</t>
  </si>
  <si>
    <t>Нет рисков</t>
  </si>
  <si>
    <t>Отдел бронирования</t>
  </si>
  <si>
    <t>Снижение стресса</t>
  </si>
  <si>
    <t>Отдел группового бронирования</t>
  </si>
  <si>
    <t>Отдел клиентской поддержки</t>
  </si>
  <si>
    <t>Департамент информационных технологий</t>
  </si>
  <si>
    <t>Отдел контент-маркетинга</t>
  </si>
  <si>
    <t>Отдел маркетинга</t>
  </si>
  <si>
    <t>Администрация</t>
  </si>
  <si>
    <t>Отдел по работе с ключевыми клиентами</t>
  </si>
  <si>
    <t>Отдел рекламы</t>
  </si>
  <si>
    <t>Отдел MICE</t>
  </si>
  <si>
    <t>Офис г. Екатеринбург</t>
  </si>
  <si>
    <t>Офис г. Казань</t>
  </si>
  <si>
    <t>Офис г. Краснодар</t>
  </si>
  <si>
    <t>Офис г. Новосибирск</t>
  </si>
  <si>
    <t>Офис г. Пятигорск</t>
  </si>
  <si>
    <t>Офис г. Самара</t>
  </si>
  <si>
    <t>Офис г. Санкт-Петербург</t>
  </si>
  <si>
    <t>Офис г. Хабаровск</t>
  </si>
  <si>
    <t>Транспортный отдел</t>
  </si>
  <si>
    <t>Чартерная группа</t>
  </si>
  <si>
    <t>Travelluxe (Казахстан)</t>
  </si>
  <si>
    <t>ОПРОСНИК: Анализ задач для автоматизации</t>
  </si>
  <si>
    <t>ФИО:</t>
  </si>
  <si>
    <t>Департамент (список):</t>
  </si>
  <si>
    <t>Отдел (список):</t>
  </si>
  <si>
    <t>Должность (свой текст):</t>
  </si>
  <si>
    <t>ВАШИ ЗАДАЧИ (минимум 5). Голубые = только список, Желтые = свой текст или список</t>
  </si>
  <si>
    <t>№</t>
  </si>
  <si>
    <t>Название
задачи</t>
  </si>
  <si>
    <t>Тип задачи
ТОЛЬКО список</t>
  </si>
  <si>
    <t>Уровень
рутинности
ТОЛЬКО список</t>
  </si>
  <si>
    <t>Регулярность
ТОЛЬКО список</t>
  </si>
  <si>
    <t>Характер
задачи
список+своё</t>
  </si>
  <si>
    <t>Проблема
список+своё</t>
  </si>
  <si>
    <t>Причина
проблемы
список+своё</t>
  </si>
  <si>
    <t>Взаимо-
действие 1
(отдел)</t>
  </si>
  <si>
    <t>Описание
взаимодействия 1</t>
  </si>
  <si>
    <t>Взаимо-
действие 2
(отдел)</t>
  </si>
  <si>
    <t>Описание
взаимодействия 2</t>
  </si>
  <si>
    <t>Взаимо-
действие 3
(отдел)</t>
  </si>
  <si>
    <t>Описание
взаимодействия 3</t>
  </si>
  <si>
    <t>Взаимо-
действие 4
(отдел)</t>
  </si>
  <si>
    <t>Описание
взаимодействия 4</t>
  </si>
  <si>
    <t>Взаимо-
действие 5
(отдел)</t>
  </si>
  <si>
    <t>Описание
взаимодействия 5</t>
  </si>
  <si>
    <t>Внутренние
ресурсы</t>
  </si>
  <si>
    <t>Внешние
ресурсы</t>
  </si>
  <si>
    <t>Приоритет
ТОЛЬКО список</t>
  </si>
  <si>
    <t>Ожидаемые
результаты
список+своё</t>
  </si>
  <si>
    <t>Риски
список+своё</t>
  </si>
  <si>
    <t>ЛЕГЕНДА:</t>
  </si>
  <si>
    <t>🔵 Голубые ячейки</t>
  </si>
  <si>
    <t>🟨 Желтые ячейки</t>
  </si>
  <si>
    <t>Время
(только число!
 только в мин!)</t>
  </si>
  <si>
    <t>глагол + что делаю</t>
  </si>
  <si>
    <t>ТОЛЬКО список</t>
  </si>
  <si>
    <t>Описание логики взаимодействия</t>
  </si>
  <si>
    <r>
      <rPr>
        <b/>
        <sz val="11"/>
        <color rgb="FFFF0000"/>
        <rFont val="Calibri"/>
        <family val="2"/>
        <charset val="204"/>
        <scheme val="minor"/>
      </rPr>
      <t>Только число и только в минутах</t>
    </r>
    <r>
      <rPr>
        <b/>
        <sz val="11"/>
        <color rgb="FF000000"/>
        <rFont val="Calibri"/>
        <family val="2"/>
        <charset val="204"/>
        <scheme val="minor"/>
      </rPr>
      <t xml:space="preserve"> (например: 15, 60, 120 и т.д.)</t>
    </r>
  </si>
  <si>
    <t xml:space="preserve">1-Низкий 
2-Средний 
3-Высокий 
</t>
  </si>
  <si>
    <t>Примеч.</t>
  </si>
  <si>
    <t>Департамент развития взаимоотношений с агентствами</t>
  </si>
  <si>
    <t>Бухгалтерия</t>
  </si>
  <si>
    <t>Департамент по управлению операционными доходами</t>
  </si>
  <si>
    <t>ВИП отдел</t>
  </si>
  <si>
    <t>Департамент въездного туризма, MICE и корпоративного обслуживания</t>
  </si>
  <si>
    <t>Отдел продаж</t>
  </si>
  <si>
    <t xml:space="preserve">Операционный департамент </t>
  </si>
  <si>
    <r>
      <t>Департамент маркетинга и</t>
    </r>
    <r>
      <rPr>
        <sz val="11"/>
        <color rgb="FF000000"/>
        <rFont val="Calibri"/>
        <family val="2"/>
        <charset val="204"/>
      </rPr>
      <t xml:space="preserve"> рекламы</t>
    </r>
  </si>
  <si>
    <t>Финансовый департамент</t>
  </si>
  <si>
    <t>Отдел круглосуточной работы с клиентами</t>
  </si>
  <si>
    <t>ASM</t>
  </si>
  <si>
    <t>Группа стран «Ближний Восток»</t>
  </si>
  <si>
    <t>Группа стран «Экзотика»</t>
  </si>
  <si>
    <t>Группа стран FIT</t>
  </si>
  <si>
    <t>Группа тарификации</t>
  </si>
  <si>
    <t>Отдел въездного туризма</t>
  </si>
  <si>
    <t>Банковская группа</t>
  </si>
  <si>
    <t>Группа по расчетам с иностранными поставщиками</t>
  </si>
  <si>
    <t>Группа стран «ЮВА»</t>
  </si>
  <si>
    <t>Генеральный директор</t>
  </si>
  <si>
    <t>Первый ЗГД</t>
  </si>
  <si>
    <t>Управление клиентского сервиса</t>
  </si>
  <si>
    <t>Управление по развитию региональных офисов</t>
  </si>
  <si>
    <t>нет отделов</t>
  </si>
  <si>
    <t>Финансовый отдел</t>
  </si>
  <si>
    <t>Менеджер-аналитик</t>
  </si>
  <si>
    <t>Собираю отчёт "Продажи_недельные"</t>
  </si>
  <si>
    <t>сайт ЦБ РФ</t>
  </si>
  <si>
    <t>Считаю KPI для КАМОВ</t>
  </si>
  <si>
    <t>готовый отчёт пересылается в бухгалтерию за 2-3 дня до начисления зп</t>
  </si>
  <si>
    <t>Считаю KPI для Артёма Вальпуцкого</t>
  </si>
  <si>
    <t>Собираю отчёт "Продажи (менеджер) (заезд)"</t>
  </si>
  <si>
    <t xml:space="preserve">Данный файл отправляется по e-mail Иваном Фомичёвым ГД и всем ЗГД. В случае, если Иван в отпуске, то файл по e-mail отправляю я.  </t>
  </si>
  <si>
    <t xml:space="preserve">Актуализирую список Камов у руководителей подразделений. Выгружаю из САМО уже улетевшие полностью оплаченные заявки за предпредыдущий месяц. Выгружаю за год улетевшие заявки полностью оплаченные для вычленения агентов со статусом "новый". Проставляю статусы агентам с помощью формулы ВПР. Выгружаю список "Агент-КАМ", впр подтягиваю агентов к камам. Вставляю данные в готовый шаблон. Данные автоматически подтягиваются и пересчитываются. Готовый отчёт отправляется Иваном Фомичёвым или мной в бухгалтерию для начисления премий Камам. </t>
  </si>
  <si>
    <t xml:space="preserve">Выгружаю данные из САМО с 1 января по предыдущее вс, все типы заявок кроме аннулированных. На сайте ЦБ РФ беру курсы валют. В САМО смотрю нашу наценку к курсу. Пересчитаю курсы. Выгруженные данные вставляю в шаблон исходника. Привожу к определенному виду согласно правилам. Перепроверяю. Полученные данные вставляю в шаблон отчёта. Данные в итоговых таблицам пересчитываются автоматически. Данный файл отправляется по e-mail Иваном Фомичёвым ГД и всем ЗГД. В случае, если Иван в отпуске, то файл по e-mail отправляю я.  </t>
  </si>
  <si>
    <t xml:space="preserve">Выгружаю из САМО заявки за предыдущий календарный месяц со статусос "оплачено" и "частичная оплата". Выгружаю список "Агент-КАМ", впр подтягиваю агентов к камам, удаляю всех кроме Артёма. Вставляю данные в готовый шаблон. Данные автоматически подтягиваются и пересчитываются. Готовый отчёт отправляется Иваном Фомичёвым или мной в бухгалтерию для начисления премии. </t>
  </si>
  <si>
    <t>Собираю отчёт "Регионы (менеджер) (заезд)"</t>
  </si>
  <si>
    <t>САМО, Excel</t>
  </si>
  <si>
    <t>Различные отчёты по запросу</t>
  </si>
  <si>
    <t>готовый отчёт пересылается за 2-3 дня до начисления зп</t>
  </si>
  <si>
    <t>Готовый отчёт пересылается по e-mail Иваном или мной 1-5 числа каждого месяца</t>
  </si>
  <si>
    <t xml:space="preserve">Любой сотрудник компании ставит мне задачу в Битриксе, описывает свой запрос. Ивана ставят в наблюдатели. Срок выполнения минимум 2 рабочих дня. Если я не загружена, но срок выполнения будет сокращен. </t>
  </si>
  <si>
    <t>готовый отчёт вкладывается в задачу</t>
  </si>
  <si>
    <t>Новости рынка</t>
  </si>
  <si>
    <t>150-180</t>
  </si>
  <si>
    <t>1 раз в неделю я делаю рассылку о новостях конкурентов и тур рынка. Информацию беру с сайтов ТО, телеграма, рассылок от ТО, тур порталов.</t>
  </si>
  <si>
    <t xml:space="preserve">Новости выкладываю в ленте в Битриксе и отмечаю всех, кому они будут полезны для работы. </t>
  </si>
  <si>
    <t>сайты ТО, телеграм, профильные новостные порталы</t>
  </si>
  <si>
    <t xml:space="preserve">Выгружаю данные из САМО по заезду за предыдущий календарный месяц. Заявки со статусом оплачено. Перечитываю курсы валют с учётом внутренней наценки. Вставляю данные в шаблон исходника. Провреяю. Привожу к определенному виду согласно правилам. Далее вставляю данные в шаблон отчёта. Иван пересылает отчёт в бухгалтерию и финансовому директору, в бронирование, продажи и другим заинтересованным лицам по запросу. Отчёт формируется для мониторинга работы менеджеров и начисления им прибыли. </t>
  </si>
  <si>
    <t>Выгружаю данные из САМО по заезду за предыдущий календарный месяц. Заявки со статусом оплачено. Перечитываю курсы валют с учётом внутренней наценки. Вставляю данные в шаблон исходника. Провреяю. Привожу к определенному виду согласно правилам. Далее вставляю данные в шаблон отчёта. Иван пересылает отчёт в бухгалтерию и финансовому директору и другим заинтересованным лицам по запросу. Отчёт формируется для мониторинга работы подразделений, формирования квартального отчёт.</t>
  </si>
  <si>
    <t>Квартальный отчёт о продажах.</t>
  </si>
  <si>
    <t xml:space="preserve">Итоговый файл с презентацией формируется на собранных данных из САМО по заезду и по созданию. Выгруженные данные вставляются в шаблон исходника, редактируются согласно правилам. Далее вставляются в шаблоны отчётов и на основе полученных цифр формируется презентация о деятельности компании за n-промежуток времени (сравнение прошедшего квартала с другими квараталами), общая динамика бронирования, активность новых ТА, популярные отели и .т.д. </t>
  </si>
  <si>
    <t xml:space="preserve">отчёты и презентация отправляется по e-mail ГД, Фин директору, всем ЗГД. Далее они пересылают это всем заинтересованным лицам. </t>
  </si>
  <si>
    <t>Навожу порядок в заявках в САМО</t>
  </si>
  <si>
    <t>Проверяю уже улетевшие заявки со статусом "не оплачено" и "частично оплачено". Пишу ведущему менеджеру по заявке, уточняю причину такого статуса. Далее, либо заявка аннулируется, либо доплачивается, либо вносятся комментарии, либо ставится сатус "бесплатно". Каждый случай индивидуален. Так же проверяю, чтобы внутренние заявки были заведены согласно правилам (командировки, маркенговые заявки, бонусные рекламники, горения и .т.д.)</t>
  </si>
  <si>
    <t>Пишу ведущему менеджеру по заявке, уточняю причину такого статуса.</t>
  </si>
  <si>
    <t>САМО, почта, Битрикс</t>
  </si>
  <si>
    <t>Кусакина</t>
  </si>
  <si>
    <t>Департамент HR</t>
  </si>
  <si>
    <t>Департамент финансов</t>
  </si>
  <si>
    <t>Группа по привлечению агенств</t>
  </si>
  <si>
    <t>Бухгалтерия группы компаний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</si>
</sst>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charset val="204"/>
      <scheme val="minor"/>
    </font>
    <font>
      <sz val="11"/>
      <color theme="1"/>
      <name val="Calibri"/>
      <family val="2"/>
      <charset val="204"/>
      <scheme val="minor"/>
    </font>
    <font>
      <b/>
      <sz val="11"/>
      <color rgb="FFFFFFFF"/>
      <name val="Calibri"/>
      <family val="2"/>
      <charset val="204"/>
      <scheme val="minor"/>
    </font>
    <font>
      <sz val="11"/>
      <color theme="1"/>
      <name val="Calibri"/>
      <family val="2"/>
      <charset val="204"/>
    </font>
    <font>
      <b/>
      <sz val="14"/>
      <color rgb="FFFFFFFF"/>
      <name val="Calibri"/>
      <family val="2"/>
      <charset val="204"/>
      <scheme val="minor"/>
    </font>
    <font>
      <sz val="11"/>
      <name val="Calibri"/>
      <family val="2"/>
      <charset val="204"/>
    </font>
    <font>
      <sz val="11"/>
      <color theme="1"/>
      <name val="Calibri"/>
      <family val="2"/>
      <charset val="204"/>
      <scheme val="minor"/>
    </font>
    <font>
      <b/>
      <sz val="12"/>
      <color theme="1"/>
      <name val="Calibri"/>
      <family val="2"/>
      <charset val="204"/>
      <scheme val="minor"/>
    </font>
    <font>
      <b/>
      <sz val="14"/>
      <color rgb="FF000000"/>
      <name val="Calibri"/>
      <family val="2"/>
      <charset val="204"/>
      <scheme val="minor"/>
    </font>
    <font>
      <sz val="14"/>
      <color rgb="FF000000"/>
      <name val="Calibri"/>
      <family val="2"/>
      <charset val="204"/>
      <scheme val="minor"/>
    </font>
    <font>
      <b/>
      <sz val="11"/>
      <color theme="1"/>
      <name val="Calibri"/>
      <family val="2"/>
      <charset val="204"/>
      <scheme val="minor"/>
    </font>
    <font>
      <b/>
      <sz val="11"/>
      <color theme="1"/>
      <name val="Calibri"/>
      <family val="2"/>
      <charset val="204"/>
      <scheme val="minor"/>
    </font>
    <font>
      <sz val="11"/>
      <color theme="1"/>
      <name val="Calibri"/>
      <family val="2"/>
      <charset val="204"/>
    </font>
    <font>
      <b/>
      <sz val="11"/>
      <color rgb="FF000000"/>
      <name val="Calibri"/>
      <family val="2"/>
      <charset val="204"/>
      <scheme val="minor"/>
    </font>
    <font>
      <b/>
      <sz val="11"/>
      <color rgb="FFFF0000"/>
      <name val="Calibri"/>
      <family val="2"/>
      <charset val="204"/>
      <scheme val="minor"/>
    </font>
    <font>
      <sz val="11"/>
      <color rgb="FF000000"/>
      <name val="Calibri"/>
      <family val="2"/>
      <charset val="204"/>
      <scheme val="minor"/>
    </font>
    <font>
      <sz val="10"/>
      <color theme="1"/>
      <name val="Times New Roman"/>
      <family val="1"/>
      <charset val="204"/>
    </font>
    <font>
      <sz val="11"/>
      <color rgb="FF000000"/>
      <name val="Calibri"/>
      <family val="2"/>
      <charset val="204"/>
    </font>
    <font>
      <sz val="11"/>
      <color rgb="FF18181B"/>
      <name val="Calibri"/>
      <family val="2"/>
      <charset val="204"/>
      <scheme val="minor"/>
    </font>
  </fonts>
  <fills count="8">
    <fill>
      <patternFill patternType="none"/>
    </fill>
    <fill>
      <patternFill patternType="gray125"/>
    </fill>
    <fill>
      <patternFill patternType="solid">
        <fgColor rgb="FF4472C4"/>
        <bgColor rgb="FF4472C4"/>
      </patternFill>
    </fill>
    <fill>
      <patternFill patternType="solid">
        <fgColor rgb="FFFFF2CC"/>
        <bgColor rgb="FFFFF2CC"/>
      </patternFill>
    </fill>
    <fill>
      <patternFill patternType="solid">
        <fgColor rgb="FFDDEBF7"/>
        <bgColor rgb="FFDDEBF7"/>
      </patternFill>
    </fill>
    <fill>
      <patternFill patternType="solid">
        <fgColor rgb="FF5B9BD5"/>
        <bgColor rgb="FF5B9BD5"/>
      </patternFill>
    </fill>
    <fill>
      <patternFill patternType="solid">
        <fgColor theme="0"/>
        <bgColor rgb="FF5B9BD5"/>
      </patternFill>
    </fill>
    <fill>
      <patternFill patternType="solid">
        <fgColor theme="0"/>
        <bgColor indexed="64"/>
      </patternFill>
    </fill>
  </fills>
  <borders count="11">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39">
    <xf numFmtId="0" fontId="0" fillId="0" borderId="0" xfId="0"/>
    <xf numFmtId="0" fontId="3" fillId="2" borderId="1" xfId="0" applyFont="1" applyFill="1" applyBorder="1"/>
    <xf numFmtId="0" fontId="4" fillId="0" borderId="0" xfId="0" applyFont="1" applyAlignment="1">
      <alignment vertical="top" wrapText="1"/>
    </xf>
    <xf numFmtId="0" fontId="7" fillId="0" borderId="0" xfId="0" applyFont="1"/>
    <xf numFmtId="0" fontId="9" fillId="5" borderId="5" xfId="0" applyFont="1" applyFill="1" applyBorder="1" applyAlignment="1">
      <alignment horizontal="center" vertical="center" wrapText="1"/>
    </xf>
    <xf numFmtId="0" fontId="10" fillId="0" borderId="0" xfId="0" applyFont="1"/>
    <xf numFmtId="0" fontId="4" fillId="0" borderId="5" xfId="0" applyFont="1" applyBorder="1" applyAlignment="1">
      <alignment vertical="top" wrapText="1"/>
    </xf>
    <xf numFmtId="0" fontId="4" fillId="3" borderId="5" xfId="0" applyFont="1" applyFill="1" applyBorder="1" applyAlignment="1">
      <alignment vertical="top" wrapText="1"/>
    </xf>
    <xf numFmtId="0" fontId="4" fillId="4" borderId="5" xfId="0" applyFont="1" applyFill="1" applyBorder="1" applyAlignment="1">
      <alignment vertical="top" wrapText="1"/>
    </xf>
    <xf numFmtId="0" fontId="11" fillId="0" borderId="0" xfId="0" applyFont="1"/>
    <xf numFmtId="0" fontId="4" fillId="4" borderId="1" xfId="0" applyFont="1" applyFill="1" applyBorder="1"/>
    <xf numFmtId="0" fontId="4" fillId="3" borderId="1" xfId="0" applyFont="1" applyFill="1" applyBorder="1"/>
    <xf numFmtId="0" fontId="9" fillId="5" borderId="9" xfId="0" applyFont="1" applyFill="1" applyBorder="1" applyAlignment="1">
      <alignment horizontal="center" vertical="center" wrapText="1"/>
    </xf>
    <xf numFmtId="0" fontId="4" fillId="3" borderId="10" xfId="0" applyFont="1" applyFill="1" applyBorder="1" applyAlignment="1">
      <alignment vertical="top" wrapText="1"/>
    </xf>
    <xf numFmtId="0" fontId="13" fillId="4" borderId="10" xfId="0" applyFont="1" applyFill="1" applyBorder="1" applyAlignment="1">
      <alignment vertical="top" wrapText="1"/>
    </xf>
    <xf numFmtId="0" fontId="4" fillId="4" borderId="10" xfId="0" applyFont="1" applyFill="1" applyBorder="1" applyAlignment="1">
      <alignment vertical="top" wrapText="1"/>
    </xf>
    <xf numFmtId="0" fontId="14" fillId="6" borderId="6" xfId="0" applyFont="1" applyFill="1" applyBorder="1" applyAlignment="1">
      <alignment horizontal="center" vertical="top" wrapText="1"/>
    </xf>
    <xf numFmtId="0" fontId="12" fillId="0" borderId="6" xfId="0" applyFont="1" applyBorder="1" applyAlignment="1">
      <alignment horizontal="center" vertical="top"/>
    </xf>
    <xf numFmtId="0" fontId="14" fillId="6" borderId="7" xfId="0" applyFont="1" applyFill="1" applyBorder="1" applyAlignment="1">
      <alignment horizontal="center" vertical="top" wrapText="1"/>
    </xf>
    <xf numFmtId="0" fontId="14" fillId="6" borderId="8" xfId="0" applyFont="1" applyFill="1" applyBorder="1" applyAlignment="1">
      <alignment horizontal="center" vertical="top" wrapText="1"/>
    </xf>
    <xf numFmtId="0" fontId="14" fillId="6" borderId="5" xfId="0" applyFont="1" applyFill="1" applyBorder="1" applyAlignment="1">
      <alignment horizontal="center" vertical="top" wrapText="1"/>
    </xf>
    <xf numFmtId="0" fontId="12" fillId="0" borderId="0" xfId="0" applyFont="1" applyAlignment="1">
      <alignment horizontal="center" vertical="top" wrapText="1"/>
    </xf>
    <xf numFmtId="0" fontId="16" fillId="7" borderId="0" xfId="0" applyFont="1" applyFill="1" applyAlignment="1">
      <alignment horizontal="center" vertical="top"/>
    </xf>
    <xf numFmtId="0" fontId="2" fillId="7" borderId="0" xfId="0" applyFont="1" applyFill="1" applyAlignment="1">
      <alignment horizontal="center" vertical="top"/>
    </xf>
    <xf numFmtId="0" fontId="18" fillId="0" borderId="0" xfId="0" applyFont="1" applyAlignment="1">
      <alignment vertical="top" wrapText="1"/>
    </xf>
    <xf numFmtId="0" fontId="18" fillId="0" borderId="0" xfId="0" applyFont="1" applyAlignment="1">
      <alignment vertical="top"/>
    </xf>
    <xf numFmtId="0" fontId="17" fillId="0" borderId="0" xfId="0" applyFont="1" applyAlignment="1">
      <alignment vertical="top"/>
    </xf>
    <xf numFmtId="0" fontId="19" fillId="0" borderId="0" xfId="0" applyFont="1"/>
    <xf numFmtId="0" fontId="4" fillId="3" borderId="5" xfId="0" applyFont="1" applyFill="1" applyBorder="1" applyAlignment="1">
      <alignment horizontal="center" vertical="top" wrapText="1"/>
    </xf>
    <xf numFmtId="0" fontId="4" fillId="3" borderId="10" xfId="0" applyFont="1" applyFill="1" applyBorder="1" applyAlignment="1">
      <alignment horizontal="center" vertical="top" wrapText="1"/>
    </xf>
    <xf numFmtId="0" fontId="1" fillId="0" borderId="0" xfId="0" applyFont="1"/>
    <xf numFmtId="0" fontId="7" fillId="0" borderId="0" xfId="0" applyFont="1"/>
    <xf numFmtId="0" fontId="0" fillId="0" borderId="0" xfId="0"/>
    <xf numFmtId="0" fontId="5" fillId="2" borderId="2" xfId="0" applyFont="1" applyFill="1" applyBorder="1" applyAlignment="1">
      <alignment horizontal="center" vertical="center"/>
    </xf>
    <xf numFmtId="0" fontId="6" fillId="0" borderId="3" xfId="0" applyFont="1" applyBorder="1"/>
    <xf numFmtId="0" fontId="6" fillId="0" borderId="4" xfId="0" applyFont="1" applyBorder="1"/>
    <xf numFmtId="0" fontId="4" fillId="3" borderId="2" xfId="0" applyFont="1" applyFill="1" applyBorder="1"/>
    <xf numFmtId="0" fontId="4" fillId="4" borderId="2" xfId="0" applyFont="1" applyFill="1" applyBorder="1"/>
    <xf numFmtId="0" fontId="8"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topLeftCell="A2" workbookViewId="0">
      <selection activeCell="A2" sqref="A2:B43"/>
    </sheetView>
  </sheetViews>
  <sheetFormatPr defaultColWidth="14.42578125" defaultRowHeight="15" customHeight="1" x14ac:dyDescent="0.25"/>
  <cols>
    <col min="1" max="11" width="50" customWidth="1"/>
    <col min="12" max="26" width="8.7109375"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30" x14ac:dyDescent="0.25">
      <c r="A2" s="24" t="s">
        <v>113</v>
      </c>
      <c r="B2" s="24" t="s">
        <v>114</v>
      </c>
      <c r="C2" s="2" t="s">
        <v>11</v>
      </c>
      <c r="D2" s="2" t="s">
        <v>12</v>
      </c>
      <c r="E2" s="2" t="s">
        <v>13</v>
      </c>
      <c r="F2" s="2" t="s">
        <v>14</v>
      </c>
      <c r="G2" s="2" t="s">
        <v>15</v>
      </c>
      <c r="H2" s="2" t="s">
        <v>16</v>
      </c>
      <c r="I2" s="2" t="s">
        <v>17</v>
      </c>
      <c r="J2" s="2" t="s">
        <v>18</v>
      </c>
      <c r="K2" s="2" t="s">
        <v>19</v>
      </c>
    </row>
    <row r="3" spans="1:11" ht="30" x14ac:dyDescent="0.25">
      <c r="A3" s="24" t="s">
        <v>115</v>
      </c>
      <c r="B3" s="24" t="s">
        <v>116</v>
      </c>
      <c r="C3" s="2" t="s">
        <v>20</v>
      </c>
      <c r="D3" s="2" t="s">
        <v>21</v>
      </c>
      <c r="E3" s="2" t="s">
        <v>22</v>
      </c>
      <c r="F3" s="2" t="s">
        <v>23</v>
      </c>
      <c r="G3" s="2" t="s">
        <v>24</v>
      </c>
      <c r="H3" s="2" t="s">
        <v>25</v>
      </c>
      <c r="I3" s="2" t="s">
        <v>26</v>
      </c>
      <c r="J3" s="2" t="s">
        <v>27</v>
      </c>
      <c r="K3" s="2" t="s">
        <v>28</v>
      </c>
    </row>
    <row r="4" spans="1:11" ht="30" x14ac:dyDescent="0.25">
      <c r="A4" s="24" t="s">
        <v>117</v>
      </c>
      <c r="B4" s="24" t="s">
        <v>118</v>
      </c>
      <c r="D4" s="2" t="s">
        <v>29</v>
      </c>
      <c r="E4" s="2" t="s">
        <v>30</v>
      </c>
      <c r="F4" s="2" t="s">
        <v>31</v>
      </c>
      <c r="G4" s="2" t="s">
        <v>32</v>
      </c>
      <c r="H4" s="2" t="s">
        <v>33</v>
      </c>
      <c r="I4" s="2" t="s">
        <v>34</v>
      </c>
      <c r="J4" s="2" t="s">
        <v>35</v>
      </c>
      <c r="K4" s="2" t="s">
        <v>36</v>
      </c>
    </row>
    <row r="5" spans="1:11" x14ac:dyDescent="0.25">
      <c r="A5" s="24" t="s">
        <v>171</v>
      </c>
      <c r="B5" s="24" t="s">
        <v>37</v>
      </c>
      <c r="D5" s="2" t="s">
        <v>38</v>
      </c>
      <c r="E5" s="2" t="s">
        <v>39</v>
      </c>
      <c r="G5" s="2" t="s">
        <v>40</v>
      </c>
      <c r="H5" s="2" t="s">
        <v>41</v>
      </c>
      <c r="I5" s="2" t="s">
        <v>42</v>
      </c>
      <c r="J5" s="2" t="s">
        <v>43</v>
      </c>
      <c r="K5" s="2" t="s">
        <v>44</v>
      </c>
    </row>
    <row r="6" spans="1:11" x14ac:dyDescent="0.25">
      <c r="A6" s="24" t="s">
        <v>119</v>
      </c>
      <c r="B6" s="24" t="s">
        <v>45</v>
      </c>
      <c r="E6" s="2" t="s">
        <v>46</v>
      </c>
      <c r="G6" s="2" t="s">
        <v>47</v>
      </c>
      <c r="H6" s="2" t="s">
        <v>48</v>
      </c>
      <c r="I6" s="2" t="s">
        <v>49</v>
      </c>
      <c r="J6" s="2" t="s">
        <v>50</v>
      </c>
      <c r="K6" s="2" t="s">
        <v>51</v>
      </c>
    </row>
    <row r="7" spans="1:11" x14ac:dyDescent="0.25">
      <c r="A7" s="2" t="s">
        <v>120</v>
      </c>
      <c r="B7" s="24" t="s">
        <v>52</v>
      </c>
      <c r="H7" s="2" t="s">
        <v>47</v>
      </c>
      <c r="I7" s="2" t="s">
        <v>47</v>
      </c>
      <c r="J7" s="2" t="s">
        <v>53</v>
      </c>
      <c r="K7" s="2" t="s">
        <v>47</v>
      </c>
    </row>
    <row r="8" spans="1:11" x14ac:dyDescent="0.25">
      <c r="A8" s="24" t="s">
        <v>56</v>
      </c>
      <c r="B8" s="24" t="s">
        <v>54</v>
      </c>
      <c r="J8" s="2" t="s">
        <v>47</v>
      </c>
    </row>
    <row r="9" spans="1:11" x14ac:dyDescent="0.25">
      <c r="A9" s="24" t="s">
        <v>172</v>
      </c>
      <c r="B9" s="24" t="s">
        <v>55</v>
      </c>
    </row>
    <row r="10" spans="1:11" x14ac:dyDescent="0.25">
      <c r="A10" s="24" t="s">
        <v>59</v>
      </c>
      <c r="B10" s="24" t="s">
        <v>122</v>
      </c>
    </row>
    <row r="11" spans="1:11" x14ac:dyDescent="0.25">
      <c r="A11" s="24" t="s">
        <v>73</v>
      </c>
      <c r="B11" s="24" t="s">
        <v>57</v>
      </c>
    </row>
    <row r="12" spans="1:11" x14ac:dyDescent="0.25">
      <c r="A12" s="24" t="s">
        <v>123</v>
      </c>
      <c r="B12" s="24" t="s">
        <v>58</v>
      </c>
    </row>
    <row r="13" spans="1:11" x14ac:dyDescent="0.25">
      <c r="B13" s="24" t="s">
        <v>60</v>
      </c>
    </row>
    <row r="14" spans="1:11" x14ac:dyDescent="0.25">
      <c r="A14" s="25"/>
      <c r="B14" s="24" t="s">
        <v>124</v>
      </c>
    </row>
    <row r="15" spans="1:11" x14ac:dyDescent="0.25">
      <c r="A15" s="25"/>
      <c r="B15" s="24" t="s">
        <v>125</v>
      </c>
    </row>
    <row r="16" spans="1:11" x14ac:dyDescent="0.25">
      <c r="A16" s="26"/>
      <c r="B16" s="24" t="s">
        <v>126</v>
      </c>
    </row>
    <row r="17" spans="1:2" x14ac:dyDescent="0.25">
      <c r="A17" s="26"/>
      <c r="B17" s="24" t="s">
        <v>127</v>
      </c>
    </row>
    <row r="18" spans="1:2" x14ac:dyDescent="0.25">
      <c r="A18" s="26"/>
      <c r="B18" s="24" t="s">
        <v>61</v>
      </c>
    </row>
    <row r="19" spans="1:2" x14ac:dyDescent="0.25">
      <c r="A19" s="26"/>
      <c r="B19" s="24" t="s">
        <v>62</v>
      </c>
    </row>
    <row r="20" spans="1:2" x14ac:dyDescent="0.25">
      <c r="A20" s="26"/>
      <c r="B20" s="24" t="s">
        <v>63</v>
      </c>
    </row>
    <row r="21" spans="1:2" ht="15.75" customHeight="1" x14ac:dyDescent="0.25">
      <c r="A21" s="26"/>
      <c r="B21" s="24" t="s">
        <v>64</v>
      </c>
    </row>
    <row r="22" spans="1:2" ht="15.75" customHeight="1" x14ac:dyDescent="0.25">
      <c r="A22" s="26"/>
      <c r="B22" s="24" t="s">
        <v>65</v>
      </c>
    </row>
    <row r="23" spans="1:2" ht="15.75" customHeight="1" x14ac:dyDescent="0.25">
      <c r="A23" s="26"/>
      <c r="B23" s="24" t="s">
        <v>66</v>
      </c>
    </row>
    <row r="24" spans="1:2" ht="15.75" customHeight="1" x14ac:dyDescent="0.25">
      <c r="A24" s="26"/>
      <c r="B24" s="24" t="s">
        <v>67</v>
      </c>
    </row>
    <row r="25" spans="1:2" ht="15.75" customHeight="1" x14ac:dyDescent="0.25">
      <c r="A25" s="26"/>
      <c r="B25" s="24" t="s">
        <v>68</v>
      </c>
    </row>
    <row r="26" spans="1:2" ht="15.75" customHeight="1" x14ac:dyDescent="0.25">
      <c r="A26" s="26"/>
      <c r="B26" s="24" t="s">
        <v>69</v>
      </c>
    </row>
    <row r="27" spans="1:2" ht="15.75" customHeight="1" x14ac:dyDescent="0.25">
      <c r="A27" s="26"/>
      <c r="B27" s="24" t="s">
        <v>70</v>
      </c>
    </row>
    <row r="28" spans="1:2" ht="15.75" customHeight="1" x14ac:dyDescent="0.25">
      <c r="A28" s="26"/>
      <c r="B28" s="24" t="s">
        <v>128</v>
      </c>
    </row>
    <row r="29" spans="1:2" ht="15.75" customHeight="1" x14ac:dyDescent="0.25">
      <c r="A29" s="26"/>
      <c r="B29" s="24" t="s">
        <v>71</v>
      </c>
    </row>
    <row r="30" spans="1:2" ht="15.75" customHeight="1" x14ac:dyDescent="0.25">
      <c r="A30" s="26"/>
      <c r="B30" s="24" t="s">
        <v>129</v>
      </c>
    </row>
    <row r="31" spans="1:2" ht="15.75" customHeight="1" x14ac:dyDescent="0.25">
      <c r="A31" s="26"/>
      <c r="B31" s="24" t="s">
        <v>130</v>
      </c>
    </row>
    <row r="32" spans="1:2" ht="15.75" customHeight="1" x14ac:dyDescent="0.25">
      <c r="A32" s="26"/>
      <c r="B32" s="24" t="s">
        <v>72</v>
      </c>
    </row>
    <row r="33" spans="1:2" ht="15.75" customHeight="1" x14ac:dyDescent="0.25">
      <c r="A33" s="26"/>
      <c r="B33" s="24" t="s">
        <v>173</v>
      </c>
    </row>
    <row r="34" spans="1:2" ht="15.75" customHeight="1" x14ac:dyDescent="0.25">
      <c r="A34" s="25"/>
      <c r="B34" s="24" t="s">
        <v>131</v>
      </c>
    </row>
    <row r="35" spans="1:2" ht="15.75" customHeight="1" x14ac:dyDescent="0.25">
      <c r="B35" s="24" t="s">
        <v>132</v>
      </c>
    </row>
    <row r="36" spans="1:2" ht="15.75" customHeight="1" x14ac:dyDescent="0.25">
      <c r="B36" s="24" t="s">
        <v>133</v>
      </c>
    </row>
    <row r="37" spans="1:2" ht="15.75" customHeight="1" x14ac:dyDescent="0.25">
      <c r="B37" s="30" t="s">
        <v>134</v>
      </c>
    </row>
    <row r="38" spans="1:2" ht="15.75" customHeight="1" x14ac:dyDescent="0.25">
      <c r="B38" s="27" t="s">
        <v>135</v>
      </c>
    </row>
    <row r="39" spans="1:2" ht="15.75" customHeight="1" x14ac:dyDescent="0.25">
      <c r="B39" s="24" t="s">
        <v>171</v>
      </c>
    </row>
    <row r="40" spans="1:2" ht="15.75" customHeight="1" x14ac:dyDescent="0.25">
      <c r="B40" s="24" t="s">
        <v>56</v>
      </c>
    </row>
    <row r="41" spans="1:2" ht="15.75" customHeight="1" x14ac:dyDescent="0.25">
      <c r="B41" s="30" t="s">
        <v>136</v>
      </c>
    </row>
    <row r="42" spans="1:2" ht="15.75" customHeight="1" x14ac:dyDescent="0.25">
      <c r="B42" t="s">
        <v>174</v>
      </c>
    </row>
    <row r="43" spans="1:2" ht="15.75" customHeight="1" x14ac:dyDescent="0.25">
      <c r="B43" t="s">
        <v>137</v>
      </c>
    </row>
    <row r="44" spans="1:2" ht="15.75" customHeight="1" x14ac:dyDescent="0.25"/>
    <row r="45" spans="1:2" ht="15.75" customHeight="1" x14ac:dyDescent="0.25"/>
    <row r="46" spans="1:2" ht="15.75" customHeight="1" x14ac:dyDescent="0.25"/>
    <row r="47" spans="1:2" ht="15.75" customHeight="1" x14ac:dyDescent="0.25"/>
    <row r="48" spans="1:2"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tabSelected="1" zoomScale="80" zoomScaleNormal="80" workbookViewId="0">
      <selection activeCell="J11" activeCellId="4" sqref="C5 R11:R25 P11:P25 L11:L25 J11:J25 N11:N25"/>
    </sheetView>
  </sheetViews>
  <sheetFormatPr defaultColWidth="14.42578125" defaultRowHeight="15" customHeight="1" x14ac:dyDescent="0.25"/>
  <cols>
    <col min="1" max="1" width="10.85546875" customWidth="1"/>
    <col min="2" max="2" width="35" customWidth="1"/>
    <col min="3" max="3" width="28.5703125" customWidth="1"/>
    <col min="4" max="4" width="25.28515625" customWidth="1"/>
    <col min="5" max="5" width="26.42578125" customWidth="1"/>
    <col min="6" max="6" width="26.5703125" customWidth="1"/>
    <col min="7" max="7" width="40.42578125" customWidth="1"/>
    <col min="8" max="9" width="15" customWidth="1"/>
    <col min="10" max="10" width="20" customWidth="1"/>
    <col min="11" max="11" width="32" customWidth="1"/>
    <col min="12" max="12" width="20" customWidth="1"/>
    <col min="13" max="13" width="25" customWidth="1"/>
    <col min="14" max="14" width="20" customWidth="1"/>
    <col min="15" max="15" width="25" customWidth="1"/>
    <col min="16" max="16" width="20" customWidth="1"/>
    <col min="17" max="17" width="25" customWidth="1"/>
    <col min="18" max="18" width="20" customWidth="1"/>
    <col min="19" max="19" width="25" customWidth="1"/>
    <col min="20" max="20" width="25.7109375" customWidth="1"/>
    <col min="21" max="21" width="18" customWidth="1"/>
    <col min="22" max="22" width="19.28515625" customWidth="1"/>
    <col min="23" max="24" width="20" customWidth="1"/>
    <col min="25" max="26" width="8.7109375" customWidth="1"/>
  </cols>
  <sheetData>
    <row r="1" spans="1:26" ht="30" customHeight="1" x14ac:dyDescent="0.25">
      <c r="A1" s="33" t="s">
        <v>74</v>
      </c>
      <c r="B1" s="34"/>
      <c r="C1" s="34"/>
      <c r="D1" s="34"/>
      <c r="E1" s="34"/>
      <c r="F1" s="34"/>
      <c r="G1" s="34"/>
      <c r="H1" s="34"/>
      <c r="I1" s="34"/>
      <c r="J1" s="34"/>
      <c r="K1" s="34"/>
      <c r="L1" s="34"/>
      <c r="M1" s="34"/>
      <c r="N1" s="34"/>
      <c r="O1" s="34"/>
      <c r="P1" s="34"/>
      <c r="Q1" s="34"/>
      <c r="R1" s="34"/>
      <c r="S1" s="34"/>
      <c r="T1" s="34"/>
      <c r="U1" s="34"/>
      <c r="V1" s="34"/>
      <c r="W1" s="34"/>
      <c r="X1" s="35"/>
    </row>
    <row r="3" spans="1:26" x14ac:dyDescent="0.25">
      <c r="B3" s="3" t="s">
        <v>75</v>
      </c>
      <c r="C3" s="36" t="s">
        <v>170</v>
      </c>
      <c r="D3" s="34"/>
      <c r="E3" s="34"/>
      <c r="F3" s="34"/>
      <c r="G3" s="34"/>
      <c r="H3" s="34"/>
      <c r="I3" s="34"/>
      <c r="J3" s="34"/>
      <c r="K3" s="34"/>
      <c r="L3" s="34"/>
      <c r="M3" s="34"/>
      <c r="N3" s="34"/>
      <c r="O3" s="34"/>
      <c r="P3" s="34"/>
      <c r="Q3" s="34"/>
      <c r="R3" s="34"/>
      <c r="S3" s="34"/>
      <c r="T3" s="34"/>
      <c r="U3" s="34"/>
      <c r="V3" s="34"/>
      <c r="W3" s="34"/>
      <c r="X3" s="35"/>
    </row>
    <row r="4" spans="1:26" x14ac:dyDescent="0.25">
      <c r="B4" s="3" t="s">
        <v>76</v>
      </c>
      <c r="C4" s="37" t="s">
        <v>121</v>
      </c>
      <c r="D4" s="34"/>
      <c r="E4" s="34"/>
      <c r="F4" s="34"/>
      <c r="G4" s="34"/>
      <c r="H4" s="34"/>
      <c r="I4" s="34"/>
      <c r="J4" s="34"/>
      <c r="K4" s="34"/>
      <c r="L4" s="34"/>
      <c r="M4" s="34"/>
      <c r="N4" s="34"/>
      <c r="O4" s="34"/>
      <c r="P4" s="34"/>
      <c r="Q4" s="34"/>
      <c r="R4" s="34"/>
      <c r="S4" s="34"/>
      <c r="T4" s="34"/>
      <c r="U4" s="34"/>
      <c r="V4" s="34"/>
      <c r="W4" s="34"/>
      <c r="X4" s="35"/>
    </row>
    <row r="5" spans="1:26" x14ac:dyDescent="0.25">
      <c r="B5" s="3" t="s">
        <v>77</v>
      </c>
      <c r="C5" s="37" t="s">
        <v>137</v>
      </c>
      <c r="D5" s="34"/>
      <c r="E5" s="34"/>
      <c r="F5" s="34"/>
      <c r="G5" s="34"/>
      <c r="H5" s="34"/>
      <c r="I5" s="34"/>
      <c r="J5" s="34"/>
      <c r="K5" s="34"/>
      <c r="L5" s="34"/>
      <c r="M5" s="34"/>
      <c r="N5" s="34"/>
      <c r="O5" s="34"/>
      <c r="P5" s="34"/>
      <c r="Q5" s="34"/>
      <c r="R5" s="34"/>
      <c r="S5" s="34"/>
      <c r="T5" s="34"/>
      <c r="U5" s="34"/>
      <c r="V5" s="34"/>
      <c r="W5" s="34"/>
      <c r="X5" s="35"/>
    </row>
    <row r="6" spans="1:26" x14ac:dyDescent="0.25">
      <c r="B6" s="3" t="s">
        <v>78</v>
      </c>
      <c r="C6" s="36" t="s">
        <v>138</v>
      </c>
      <c r="D6" s="34"/>
      <c r="E6" s="34"/>
      <c r="F6" s="34"/>
      <c r="G6" s="34"/>
      <c r="H6" s="34"/>
      <c r="I6" s="34"/>
      <c r="J6" s="34"/>
      <c r="K6" s="34"/>
      <c r="L6" s="34"/>
      <c r="M6" s="34"/>
      <c r="N6" s="34"/>
      <c r="O6" s="34"/>
      <c r="P6" s="34"/>
      <c r="Q6" s="34"/>
      <c r="R6" s="34"/>
      <c r="S6" s="34"/>
      <c r="T6" s="34"/>
      <c r="U6" s="34"/>
      <c r="V6" s="34"/>
      <c r="W6" s="34"/>
      <c r="X6" s="35"/>
    </row>
    <row r="8" spans="1:26" ht="15.75" x14ac:dyDescent="0.25">
      <c r="A8" s="38" t="s">
        <v>79</v>
      </c>
      <c r="B8" s="32"/>
      <c r="C8" s="32"/>
      <c r="D8" s="32"/>
      <c r="E8" s="32"/>
      <c r="F8" s="32"/>
      <c r="G8" s="32"/>
      <c r="H8" s="32"/>
      <c r="I8" s="32"/>
      <c r="J8" s="32"/>
      <c r="K8" s="32"/>
      <c r="L8" s="32"/>
      <c r="M8" s="32"/>
      <c r="N8" s="32"/>
      <c r="O8" s="32"/>
      <c r="P8" s="32"/>
      <c r="Q8" s="32"/>
      <c r="R8" s="32"/>
      <c r="S8" s="32"/>
      <c r="T8" s="32"/>
      <c r="U8" s="32"/>
      <c r="V8" s="32"/>
      <c r="W8" s="32"/>
      <c r="X8" s="32"/>
    </row>
    <row r="9" spans="1:26" ht="97.15" customHeight="1" x14ac:dyDescent="0.3">
      <c r="A9" s="4" t="s">
        <v>80</v>
      </c>
      <c r="B9" s="12" t="s">
        <v>81</v>
      </c>
      <c r="C9" s="12" t="s">
        <v>82</v>
      </c>
      <c r="D9" s="12" t="s">
        <v>83</v>
      </c>
      <c r="E9" s="12" t="s">
        <v>84</v>
      </c>
      <c r="F9" s="12" t="s">
        <v>106</v>
      </c>
      <c r="G9" s="4" t="s">
        <v>85</v>
      </c>
      <c r="H9" s="4" t="s">
        <v>86</v>
      </c>
      <c r="I9" s="4" t="s">
        <v>87</v>
      </c>
      <c r="J9" s="4" t="s">
        <v>88</v>
      </c>
      <c r="K9" s="4" t="s">
        <v>89</v>
      </c>
      <c r="L9" s="4" t="s">
        <v>90</v>
      </c>
      <c r="M9" s="4" t="s">
        <v>91</v>
      </c>
      <c r="N9" s="4" t="s">
        <v>92</v>
      </c>
      <c r="O9" s="4" t="s">
        <v>93</v>
      </c>
      <c r="P9" s="4" t="s">
        <v>94</v>
      </c>
      <c r="Q9" s="4" t="s">
        <v>95</v>
      </c>
      <c r="R9" s="4" t="s">
        <v>96</v>
      </c>
      <c r="S9" s="4" t="s">
        <v>97</v>
      </c>
      <c r="T9" s="4" t="s">
        <v>98</v>
      </c>
      <c r="U9" s="4" t="s">
        <v>99</v>
      </c>
      <c r="V9" s="4" t="s">
        <v>100</v>
      </c>
      <c r="W9" s="4" t="s">
        <v>101</v>
      </c>
      <c r="X9" s="4" t="s">
        <v>102</v>
      </c>
      <c r="Y9" s="5"/>
      <c r="Z9" s="5"/>
    </row>
    <row r="10" spans="1:26" s="23" customFormat="1" ht="48.6" customHeight="1" x14ac:dyDescent="0.25">
      <c r="A10" s="18" t="s">
        <v>112</v>
      </c>
      <c r="B10" s="16" t="s">
        <v>107</v>
      </c>
      <c r="C10" s="17" t="s">
        <v>108</v>
      </c>
      <c r="D10" s="17" t="s">
        <v>108</v>
      </c>
      <c r="E10" s="17" t="s">
        <v>108</v>
      </c>
      <c r="F10" s="16" t="s">
        <v>110</v>
      </c>
      <c r="G10" s="19"/>
      <c r="H10" s="20"/>
      <c r="I10" s="20"/>
      <c r="J10" s="17" t="s">
        <v>108</v>
      </c>
      <c r="K10" s="21" t="s">
        <v>109</v>
      </c>
      <c r="L10" s="17" t="s">
        <v>108</v>
      </c>
      <c r="M10" s="21" t="s">
        <v>109</v>
      </c>
      <c r="N10" s="17" t="s">
        <v>108</v>
      </c>
      <c r="O10" s="21" t="s">
        <v>109</v>
      </c>
      <c r="P10" s="17" t="s">
        <v>108</v>
      </c>
      <c r="Q10" s="21" t="s">
        <v>109</v>
      </c>
      <c r="R10" s="17" t="s">
        <v>108</v>
      </c>
      <c r="S10" s="21" t="s">
        <v>109</v>
      </c>
      <c r="T10" s="20"/>
      <c r="U10" s="20"/>
      <c r="V10" s="20" t="s">
        <v>111</v>
      </c>
      <c r="W10" s="20"/>
      <c r="X10" s="20"/>
      <c r="Y10" s="22"/>
      <c r="Z10" s="22"/>
    </row>
    <row r="11" spans="1:26" ht="205.5" customHeight="1" x14ac:dyDescent="0.25">
      <c r="A11" s="6">
        <v>1</v>
      </c>
      <c r="B11" s="13" t="s">
        <v>139</v>
      </c>
      <c r="C11" s="14" t="s">
        <v>11</v>
      </c>
      <c r="D11" s="14" t="s">
        <v>12</v>
      </c>
      <c r="E11" s="15" t="s">
        <v>22</v>
      </c>
      <c r="F11" s="29">
        <v>120</v>
      </c>
      <c r="G11" s="7" t="s">
        <v>147</v>
      </c>
      <c r="H11" s="7"/>
      <c r="I11" s="7"/>
      <c r="J11" s="8" t="s">
        <v>132</v>
      </c>
      <c r="K11" s="7" t="s">
        <v>145</v>
      </c>
      <c r="L11" s="8" t="s">
        <v>133</v>
      </c>
      <c r="M11" s="7" t="s">
        <v>145</v>
      </c>
      <c r="N11" s="8"/>
      <c r="O11" s="7"/>
      <c r="P11" s="8"/>
      <c r="Q11" s="7"/>
      <c r="R11" s="8"/>
      <c r="S11" s="7"/>
      <c r="T11" s="7" t="s">
        <v>150</v>
      </c>
      <c r="U11" s="7" t="s">
        <v>140</v>
      </c>
      <c r="V11" s="8" t="s">
        <v>14</v>
      </c>
      <c r="W11" s="7"/>
      <c r="X11" s="7"/>
    </row>
    <row r="12" spans="1:26" ht="198.6" customHeight="1" x14ac:dyDescent="0.25">
      <c r="A12" s="6">
        <v>2</v>
      </c>
      <c r="B12" s="7" t="s">
        <v>141</v>
      </c>
      <c r="C12" s="8" t="s">
        <v>11</v>
      </c>
      <c r="D12" s="8" t="s">
        <v>12</v>
      </c>
      <c r="E12" s="8" t="s">
        <v>30</v>
      </c>
      <c r="F12" s="28">
        <v>90</v>
      </c>
      <c r="G12" s="7" t="s">
        <v>146</v>
      </c>
      <c r="H12" s="7"/>
      <c r="I12" s="7"/>
      <c r="J12" s="8" t="s">
        <v>114</v>
      </c>
      <c r="K12" s="7" t="s">
        <v>142</v>
      </c>
      <c r="L12" s="8"/>
      <c r="M12" s="7"/>
      <c r="N12" s="8"/>
      <c r="O12" s="7"/>
      <c r="P12" s="8"/>
      <c r="Q12" s="7"/>
      <c r="R12" s="8"/>
      <c r="S12" s="7"/>
      <c r="T12" s="7" t="s">
        <v>150</v>
      </c>
      <c r="U12" s="7" t="s">
        <v>140</v>
      </c>
      <c r="V12" s="8" t="s">
        <v>14</v>
      </c>
      <c r="W12" s="7"/>
      <c r="X12" s="7"/>
    </row>
    <row r="13" spans="1:26" ht="165" x14ac:dyDescent="0.25">
      <c r="A13" s="6">
        <v>3</v>
      </c>
      <c r="B13" s="7" t="s">
        <v>143</v>
      </c>
      <c r="C13" s="8" t="s">
        <v>11</v>
      </c>
      <c r="D13" s="8" t="s">
        <v>12</v>
      </c>
      <c r="E13" s="8" t="s">
        <v>30</v>
      </c>
      <c r="F13" s="28">
        <v>60</v>
      </c>
      <c r="G13" s="7" t="s">
        <v>148</v>
      </c>
      <c r="H13" s="7"/>
      <c r="I13" s="7"/>
      <c r="J13" s="8" t="s">
        <v>114</v>
      </c>
      <c r="K13" s="7" t="s">
        <v>152</v>
      </c>
      <c r="L13" s="8" t="s">
        <v>114</v>
      </c>
      <c r="M13" s="7" t="s">
        <v>152</v>
      </c>
      <c r="N13" s="8"/>
      <c r="O13" s="7"/>
      <c r="P13" s="8"/>
      <c r="Q13" s="7"/>
      <c r="R13" s="8"/>
      <c r="S13" s="7"/>
      <c r="T13" s="7" t="s">
        <v>150</v>
      </c>
      <c r="U13" s="7" t="s">
        <v>140</v>
      </c>
      <c r="V13" s="8" t="s">
        <v>14</v>
      </c>
      <c r="W13" s="7"/>
      <c r="X13" s="7"/>
    </row>
    <row r="14" spans="1:26" ht="225" x14ac:dyDescent="0.25">
      <c r="A14" s="6">
        <v>4</v>
      </c>
      <c r="B14" s="7" t="s">
        <v>144</v>
      </c>
      <c r="C14" s="8" t="s">
        <v>11</v>
      </c>
      <c r="D14" s="8" t="s">
        <v>12</v>
      </c>
      <c r="E14" s="8" t="s">
        <v>30</v>
      </c>
      <c r="F14" s="28">
        <v>60</v>
      </c>
      <c r="G14" s="7" t="s">
        <v>161</v>
      </c>
      <c r="H14" s="7"/>
      <c r="I14" s="7"/>
      <c r="J14" s="8" t="s">
        <v>114</v>
      </c>
      <c r="K14" s="7" t="s">
        <v>153</v>
      </c>
      <c r="L14" s="8" t="s">
        <v>114</v>
      </c>
      <c r="M14" s="7" t="s">
        <v>153</v>
      </c>
      <c r="N14" s="8"/>
      <c r="O14" s="7"/>
      <c r="P14" s="8"/>
      <c r="Q14" s="7"/>
      <c r="R14" s="8"/>
      <c r="S14" s="7"/>
      <c r="T14" s="7" t="s">
        <v>150</v>
      </c>
      <c r="U14" s="7" t="s">
        <v>140</v>
      </c>
      <c r="V14" s="8" t="s">
        <v>14</v>
      </c>
      <c r="W14" s="7"/>
      <c r="X14" s="7"/>
    </row>
    <row r="15" spans="1:26" ht="210" x14ac:dyDescent="0.25">
      <c r="A15" s="6">
        <v>5</v>
      </c>
      <c r="B15" s="7" t="s">
        <v>149</v>
      </c>
      <c r="C15" s="8" t="s">
        <v>11</v>
      </c>
      <c r="D15" s="8" t="s">
        <v>12</v>
      </c>
      <c r="E15" s="8" t="s">
        <v>30</v>
      </c>
      <c r="F15" s="28">
        <v>90</v>
      </c>
      <c r="G15" s="7" t="s">
        <v>162</v>
      </c>
      <c r="H15" s="7"/>
      <c r="I15" s="7"/>
      <c r="J15" s="8" t="s">
        <v>114</v>
      </c>
      <c r="K15" s="7" t="s">
        <v>153</v>
      </c>
      <c r="L15" s="8" t="s">
        <v>114</v>
      </c>
      <c r="M15" s="7" t="s">
        <v>153</v>
      </c>
      <c r="N15" s="8"/>
      <c r="O15" s="7"/>
      <c r="P15" s="8"/>
      <c r="Q15" s="7"/>
      <c r="R15" s="8"/>
      <c r="S15" s="7"/>
      <c r="T15" s="7" t="s">
        <v>150</v>
      </c>
      <c r="U15" s="7" t="s">
        <v>140</v>
      </c>
      <c r="V15" s="8" t="s">
        <v>14</v>
      </c>
      <c r="W15" s="7"/>
      <c r="X15" s="7"/>
    </row>
    <row r="16" spans="1:26" ht="90" x14ac:dyDescent="0.25">
      <c r="A16" s="6">
        <v>6</v>
      </c>
      <c r="B16" s="7" t="s">
        <v>151</v>
      </c>
      <c r="C16" s="8" t="s">
        <v>11</v>
      </c>
      <c r="D16" s="8" t="s">
        <v>38</v>
      </c>
      <c r="E16" s="8" t="s">
        <v>46</v>
      </c>
      <c r="F16" s="28">
        <v>120</v>
      </c>
      <c r="G16" s="7" t="s">
        <v>154</v>
      </c>
      <c r="H16" s="7"/>
      <c r="I16" s="7"/>
      <c r="J16" s="8" t="s">
        <v>136</v>
      </c>
      <c r="K16" s="7" t="s">
        <v>155</v>
      </c>
      <c r="L16" s="8"/>
      <c r="M16" s="7"/>
      <c r="N16" s="8"/>
      <c r="O16" s="7"/>
      <c r="P16" s="8"/>
      <c r="Q16" s="7"/>
      <c r="R16" s="8"/>
      <c r="S16" s="7"/>
      <c r="T16" s="7" t="s">
        <v>150</v>
      </c>
      <c r="U16" s="7" t="s">
        <v>140</v>
      </c>
      <c r="V16" s="8" t="s">
        <v>14</v>
      </c>
      <c r="W16" s="7"/>
      <c r="X16" s="7"/>
    </row>
    <row r="17" spans="1:24" ht="75" x14ac:dyDescent="0.25">
      <c r="A17" s="6">
        <v>7</v>
      </c>
      <c r="B17" s="7" t="s">
        <v>156</v>
      </c>
      <c r="C17" s="8" t="s">
        <v>11</v>
      </c>
      <c r="D17" s="8" t="s">
        <v>29</v>
      </c>
      <c r="E17" s="8" t="s">
        <v>22</v>
      </c>
      <c r="F17" s="28" t="s">
        <v>157</v>
      </c>
      <c r="G17" s="7" t="s">
        <v>158</v>
      </c>
      <c r="H17" s="7"/>
      <c r="I17" s="7"/>
      <c r="J17" s="8" t="s">
        <v>136</v>
      </c>
      <c r="K17" s="7" t="s">
        <v>159</v>
      </c>
      <c r="L17" s="8"/>
      <c r="M17" s="7"/>
      <c r="N17" s="8"/>
      <c r="O17" s="7"/>
      <c r="P17" s="8"/>
      <c r="Q17" s="7"/>
      <c r="R17" s="8"/>
      <c r="S17" s="7"/>
      <c r="T17" s="7"/>
      <c r="U17" s="7" t="s">
        <v>160</v>
      </c>
      <c r="V17" s="8" t="s">
        <v>14</v>
      </c>
      <c r="W17" s="7"/>
      <c r="X17" s="7"/>
    </row>
    <row r="18" spans="1:24" ht="210" x14ac:dyDescent="0.25">
      <c r="A18" s="6">
        <v>8</v>
      </c>
      <c r="B18" s="7" t="s">
        <v>163</v>
      </c>
      <c r="C18" s="8" t="s">
        <v>11</v>
      </c>
      <c r="D18" s="8" t="s">
        <v>21</v>
      </c>
      <c r="E18" s="8" t="s">
        <v>39</v>
      </c>
      <c r="F18" s="28">
        <v>2400</v>
      </c>
      <c r="G18" s="7" t="s">
        <v>164</v>
      </c>
      <c r="H18" s="7"/>
      <c r="I18" s="7"/>
      <c r="J18" s="8" t="s">
        <v>132</v>
      </c>
      <c r="K18" s="7" t="s">
        <v>165</v>
      </c>
      <c r="L18" s="8" t="s">
        <v>133</v>
      </c>
      <c r="M18" s="7" t="s">
        <v>165</v>
      </c>
      <c r="N18" s="8" t="s">
        <v>114</v>
      </c>
      <c r="O18" s="7" t="s">
        <v>165</v>
      </c>
      <c r="P18" s="8"/>
      <c r="Q18" s="7"/>
      <c r="R18" s="8"/>
      <c r="S18" s="7"/>
      <c r="T18" s="7" t="s">
        <v>150</v>
      </c>
      <c r="U18" s="7" t="s">
        <v>140</v>
      </c>
      <c r="V18" s="8" t="s">
        <v>14</v>
      </c>
      <c r="W18" s="7"/>
      <c r="X18" s="7"/>
    </row>
    <row r="19" spans="1:24" ht="195" x14ac:dyDescent="0.25">
      <c r="A19" s="6">
        <v>9</v>
      </c>
      <c r="B19" s="7" t="s">
        <v>166</v>
      </c>
      <c r="C19" s="8" t="s">
        <v>11</v>
      </c>
      <c r="D19" s="8" t="s">
        <v>38</v>
      </c>
      <c r="E19" s="8" t="s">
        <v>46</v>
      </c>
      <c r="F19" s="28">
        <v>150</v>
      </c>
      <c r="G19" s="7" t="s">
        <v>167</v>
      </c>
      <c r="H19" s="7"/>
      <c r="I19" s="7"/>
      <c r="J19" s="8" t="s">
        <v>136</v>
      </c>
      <c r="K19" s="7" t="s">
        <v>168</v>
      </c>
      <c r="L19" s="8"/>
      <c r="M19" s="7"/>
      <c r="N19" s="8"/>
      <c r="O19" s="7"/>
      <c r="P19" s="8"/>
      <c r="Q19" s="7"/>
      <c r="R19" s="8"/>
      <c r="S19" s="7"/>
      <c r="T19" s="7" t="s">
        <v>169</v>
      </c>
      <c r="U19" s="7"/>
      <c r="V19" s="8" t="s">
        <v>14</v>
      </c>
      <c r="W19" s="7"/>
      <c r="X19" s="7"/>
    </row>
    <row r="20" spans="1:24" ht="39.75" customHeight="1" x14ac:dyDescent="0.25">
      <c r="A20" s="6">
        <v>10</v>
      </c>
      <c r="B20" s="7"/>
      <c r="C20" s="8"/>
      <c r="D20" s="8"/>
      <c r="E20" s="8"/>
      <c r="F20" s="7"/>
      <c r="G20" s="7"/>
      <c r="H20" s="7"/>
      <c r="I20" s="7"/>
      <c r="J20" s="8"/>
      <c r="K20" s="7"/>
      <c r="L20" s="8"/>
      <c r="M20" s="7"/>
      <c r="N20" s="8"/>
      <c r="O20" s="7"/>
      <c r="P20" s="8"/>
      <c r="Q20" s="7"/>
      <c r="R20" s="8"/>
      <c r="S20" s="7"/>
      <c r="T20" s="7"/>
      <c r="U20" s="7"/>
      <c r="V20" s="8"/>
      <c r="W20" s="7"/>
      <c r="X20" s="7"/>
    </row>
    <row r="21" spans="1:24" ht="39.75" customHeight="1" x14ac:dyDescent="0.25">
      <c r="A21" s="6">
        <v>11</v>
      </c>
      <c r="B21" s="7"/>
      <c r="C21" s="8"/>
      <c r="D21" s="8"/>
      <c r="E21" s="8"/>
      <c r="F21" s="7"/>
      <c r="G21" s="7"/>
      <c r="H21" s="7"/>
      <c r="I21" s="7"/>
      <c r="J21" s="8"/>
      <c r="K21" s="7"/>
      <c r="L21" s="8"/>
      <c r="M21" s="7"/>
      <c r="N21" s="8"/>
      <c r="O21" s="7"/>
      <c r="P21" s="8"/>
      <c r="Q21" s="7"/>
      <c r="R21" s="8"/>
      <c r="S21" s="7"/>
      <c r="T21" s="7"/>
      <c r="U21" s="7"/>
      <c r="V21" s="8"/>
      <c r="W21" s="7"/>
      <c r="X21" s="7"/>
    </row>
    <row r="22" spans="1:24" ht="39.75" customHeight="1" x14ac:dyDescent="0.25">
      <c r="A22" s="6">
        <v>12</v>
      </c>
      <c r="B22" s="7"/>
      <c r="C22" s="8"/>
      <c r="D22" s="8"/>
      <c r="E22" s="8"/>
      <c r="F22" s="7"/>
      <c r="G22" s="7"/>
      <c r="H22" s="7"/>
      <c r="I22" s="7"/>
      <c r="J22" s="8"/>
      <c r="K22" s="7"/>
      <c r="L22" s="8"/>
      <c r="M22" s="7"/>
      <c r="N22" s="8"/>
      <c r="O22" s="7"/>
      <c r="P22" s="8"/>
      <c r="Q22" s="7"/>
      <c r="R22" s="8"/>
      <c r="S22" s="7"/>
      <c r="T22" s="7"/>
      <c r="U22" s="7"/>
      <c r="V22" s="8"/>
      <c r="W22" s="7"/>
      <c r="X22" s="7"/>
    </row>
    <row r="23" spans="1:24" ht="39.75" customHeight="1" x14ac:dyDescent="0.25">
      <c r="A23" s="6">
        <v>13</v>
      </c>
      <c r="B23" s="7"/>
      <c r="C23" s="8"/>
      <c r="D23" s="8"/>
      <c r="E23" s="8"/>
      <c r="F23" s="7"/>
      <c r="G23" s="7"/>
      <c r="H23" s="7"/>
      <c r="I23" s="7"/>
      <c r="J23" s="8"/>
      <c r="K23" s="7"/>
      <c r="L23" s="8"/>
      <c r="M23" s="7"/>
      <c r="N23" s="8"/>
      <c r="O23" s="7"/>
      <c r="P23" s="8"/>
      <c r="Q23" s="7"/>
      <c r="R23" s="8"/>
      <c r="S23" s="7"/>
      <c r="T23" s="7"/>
      <c r="U23" s="7"/>
      <c r="V23" s="8"/>
      <c r="W23" s="7"/>
      <c r="X23" s="7"/>
    </row>
    <row r="24" spans="1:24" ht="39.75" customHeight="1" x14ac:dyDescent="0.25">
      <c r="A24" s="6">
        <v>14</v>
      </c>
      <c r="B24" s="7"/>
      <c r="C24" s="8"/>
      <c r="D24" s="8"/>
      <c r="E24" s="8"/>
      <c r="F24" s="7"/>
      <c r="G24" s="7"/>
      <c r="H24" s="7"/>
      <c r="I24" s="7"/>
      <c r="J24" s="8"/>
      <c r="K24" s="7"/>
      <c r="L24" s="8"/>
      <c r="M24" s="7"/>
      <c r="N24" s="8"/>
      <c r="O24" s="7"/>
      <c r="P24" s="8"/>
      <c r="Q24" s="7"/>
      <c r="R24" s="8"/>
      <c r="S24" s="7"/>
      <c r="T24" s="7"/>
      <c r="U24" s="7"/>
      <c r="V24" s="8"/>
      <c r="W24" s="7"/>
      <c r="X24" s="7"/>
    </row>
    <row r="25" spans="1:24" ht="39.75" customHeight="1" x14ac:dyDescent="0.25">
      <c r="A25" s="6">
        <v>15</v>
      </c>
      <c r="B25" s="7"/>
      <c r="C25" s="8"/>
      <c r="D25" s="8"/>
      <c r="E25" s="8"/>
      <c r="F25" s="7"/>
      <c r="G25" s="7"/>
      <c r="H25" s="7"/>
      <c r="I25" s="7"/>
      <c r="J25" s="8"/>
      <c r="K25" s="7"/>
      <c r="L25" s="8"/>
      <c r="M25" s="7"/>
      <c r="N25" s="8"/>
      <c r="O25" s="7"/>
      <c r="P25" s="8"/>
      <c r="Q25" s="7"/>
      <c r="R25" s="8"/>
      <c r="S25" s="7"/>
      <c r="T25" s="7"/>
      <c r="U25" s="7"/>
      <c r="V25" s="8"/>
      <c r="W25" s="7"/>
      <c r="X25" s="7"/>
    </row>
    <row r="26" spans="1:24" ht="15.75" customHeight="1" x14ac:dyDescent="0.25"/>
    <row r="27" spans="1:24" ht="15.75" customHeight="1" x14ac:dyDescent="0.25">
      <c r="A27" s="9" t="s">
        <v>103</v>
      </c>
    </row>
    <row r="28" spans="1:24" ht="15.75" customHeight="1" x14ac:dyDescent="0.25">
      <c r="A28" s="10" t="s">
        <v>104</v>
      </c>
      <c r="B28" s="31" t="e">
        <f ca="1">Выпадающий список(ТОЛЬКО из списка)</f>
        <v>#NAME?</v>
      </c>
      <c r="C28" s="32"/>
      <c r="D28" s="32"/>
      <c r="E28" s="32"/>
    </row>
    <row r="29" spans="1:24" ht="15.75" customHeight="1" x14ac:dyDescent="0.25">
      <c r="A29" s="11" t="s">
        <v>105</v>
      </c>
      <c r="B29" s="31" t="e">
        <f>Можно выбрать из списка ИЛИ написать своё</f>
        <v>#NAME?</v>
      </c>
      <c r="C29" s="32"/>
      <c r="D29" s="32"/>
      <c r="E29" s="32"/>
    </row>
    <row r="30" spans="1:24" ht="15.75" customHeight="1" x14ac:dyDescent="0.25"/>
    <row r="31" spans="1:24" ht="15.75" customHeight="1" x14ac:dyDescent="0.25"/>
    <row r="32" spans="1:24"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mergeCells count="8">
    <mergeCell ref="B28:E28"/>
    <mergeCell ref="B29:E29"/>
    <mergeCell ref="A1:X1"/>
    <mergeCell ref="C3:X3"/>
    <mergeCell ref="C4:X4"/>
    <mergeCell ref="C5:X5"/>
    <mergeCell ref="C6:X6"/>
    <mergeCell ref="A8:X8"/>
  </mergeCells>
  <pageMargins left="0.75" right="0.75" top="1" bottom="1" header="0" footer="0"/>
  <pageSetup orientation="landscape" r:id="rId1"/>
  <extLst>
    <ext xmlns:x14="http://schemas.microsoft.com/office/spreadsheetml/2009/9/main" uri="{CCE6A557-97BC-4b89-ADB6-D9C93CAAB3DF}">
      <x14:dataValidations xmlns:xm="http://schemas.microsoft.com/office/excel/2006/main" count="11">
        <x14:dataValidation type="list" allowBlank="1" xr:uid="{00000000-0002-0000-0100-000000000000}">
          <x14:formula1>
            <xm:f>Справочники!$E$2:$E$6</xm:f>
          </x14:formula1>
          <xm:sqref>E11:E25</xm:sqref>
        </x14:dataValidation>
        <x14:dataValidation type="list" allowBlank="1" xr:uid="{00000000-0002-0000-0100-000001000000}">
          <x14:formula1>
            <xm:f>Справочники!$G$2:$G$6</xm:f>
          </x14:formula1>
          <xm:sqref>K11 G11:G25</xm:sqref>
        </x14:dataValidation>
        <x14:dataValidation type="list" allowBlank="1" xr:uid="{00000000-0002-0000-0100-000002000000}">
          <x14:formula1>
            <xm:f>Справочники!$F$2:$F$4</xm:f>
          </x14:formula1>
          <xm:sqref>V11:V25</xm:sqref>
        </x14:dataValidation>
        <x14:dataValidation type="list" allowBlank="1" xr:uid="{00000000-0002-0000-0100-000003000000}">
          <x14:formula1>
            <xm:f>Справочники!$I$2:$I$7</xm:f>
          </x14:formula1>
          <xm:sqref>I11:I25</xm:sqref>
        </x14:dataValidation>
        <x14:dataValidation type="list" allowBlank="1" xr:uid="{00000000-0002-0000-0100-000005000000}">
          <x14:formula1>
            <xm:f>Справочники!$D$2:$D$5</xm:f>
          </x14:formula1>
          <xm:sqref>D11:D25</xm:sqref>
        </x14:dataValidation>
        <x14:dataValidation type="list" allowBlank="1" xr:uid="{00000000-0002-0000-0100-000006000000}">
          <x14:formula1>
            <xm:f>Справочники!$C$2:$C$3</xm:f>
          </x14:formula1>
          <xm:sqref>C11:C25</xm:sqref>
        </x14:dataValidation>
        <x14:dataValidation type="list" allowBlank="1" xr:uid="{00000000-0002-0000-0100-000008000000}">
          <x14:formula1>
            <xm:f>Справочники!$H$2:$H$7</xm:f>
          </x14:formula1>
          <xm:sqref>H11:H25</xm:sqref>
        </x14:dataValidation>
        <x14:dataValidation type="list" allowBlank="1" xr:uid="{00000000-0002-0000-0100-000009000000}">
          <x14:formula1>
            <xm:f>Справочники!$J$2:$J$8</xm:f>
          </x14:formula1>
          <xm:sqref>W11:W25</xm:sqref>
        </x14:dataValidation>
        <x14:dataValidation type="list" allowBlank="1" xr:uid="{00000000-0002-0000-0100-00000A000000}">
          <x14:formula1>
            <xm:f>Справочники!$K$2:$K$7</xm:f>
          </x14:formula1>
          <xm:sqref>X11:X25</xm:sqref>
        </x14:dataValidation>
        <x14:dataValidation type="list" allowBlank="1" xr:uid="{00000000-0002-0000-0100-000004000000}">
          <x14:formula1>
            <xm:f>Справочники!$A$2:$A$13</xm:f>
          </x14:formula1>
          <xm:sqref>C4:X4</xm:sqref>
        </x14:dataValidation>
        <x14:dataValidation type="list" allowBlank="1" xr:uid="{00000000-0002-0000-0100-000007000000}">
          <x14:formula1>
            <xm:f>Справочники!$B$2:$B$44</xm:f>
          </x14:formula1>
          <xm:sqref>C5 R11:R25 P11:P25 L11:L25 J11:J25 N11:N25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Справочники</vt:lpstr>
      <vt:lpstr>ШАБЛОН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Александр Ларин</cp:lastModifiedBy>
  <dcterms:created xsi:type="dcterms:W3CDTF">2025-12-06T19:31:51Z</dcterms:created>
  <dcterms:modified xsi:type="dcterms:W3CDTF">2026-01-26T07:53:47Z</dcterms:modified>
</cp:coreProperties>
</file>