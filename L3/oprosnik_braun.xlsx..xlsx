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D6A4BA39-DCFF-47D8-87C3-2B339253405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44" i="2" l="1"/>
  <c r="B43" i="2"/>
</calcChain>
</file>

<file path=xl/sharedStrings.xml><?xml version="1.0" encoding="utf-8"?>
<sst xmlns="http://schemas.openxmlformats.org/spreadsheetml/2006/main" count="384" uniqueCount="206">
  <si>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</si>
  <si>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</si>
  <si>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</si>
  <si>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</si>
  <si>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</si>
  <si>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</si>
  <si>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</si>
  <si>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</si>
  <si>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</si>
  <si>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</si>
  <si>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</si>
  <si>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</si>
  <si>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</si>
  <si>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</si>
  <si>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</si>
  <si>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</si>
  <si>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</si>
  <si>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</si>
  <si>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</si>
  <si>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</si>
  <si>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</si>
  <si>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</si>
  <si>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</si>
  <si>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</si>
  <si>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</si>
  <si>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</si>
  <si>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</si>
  <si>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</si>
  <si>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</si>
  <si>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</si>
  <si>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</si>
  <si>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</si>
  <si>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</si>
  <si>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</si>
  <si>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</si>
  <si>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</si>
  <si>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</si>
  <si>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</si>
  <si>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</si>
  <si>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</si>
  <si>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</si>
  <si>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</si>
  <si>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</si>
  <si>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</si>
  <si>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</si>
  <si>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</si>
  <si>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</si>
  <si>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</si>
  <si>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</si>
  <si>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</si>
  <si>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</si>
  <si>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</si>
  <si>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</si>
  <si>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</si>
  <si>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</si>
  <si>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</si>
  <si>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</si>
  <si>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</si>
  <si>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</si>
  <si>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</si>
  <si>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</si>
  <si>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</si>
  <si>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</si>
  <si>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</si>
  <si>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</si>
  <si>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</si>
  <si>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</si>
  <si>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</si>
  <si>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</si>
  <si>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</si>
  <si>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</si>
  <si>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</si>
  <si>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</si>
  <si>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</si>
  <si>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</si>
  <si>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</si>
  <si>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</si>
  <si>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</si>
  <si>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</si>
  <si>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</si>
  <si>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</si>
  <si>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</si>
  <si>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</si>
  <si>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</si>
  <si>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</si>
  <si>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</si>
  <si>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</si>
  <si>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</si>
  <si>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</si>
  <si>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</si>
  <si>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</si>
  <si>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</si>
  <si>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</si>
  <si>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</si>
  <si>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</si>
  <si>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</si>
  <si>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</si>
  <si>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</si>
  <si>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</si>
  <si>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</si>
  <si>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</si>
  <si>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</si>
  <si>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</si>
  <si>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</si>
  <si>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</si>
  <si>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</si>
  <si>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</si>
  <si>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</si>
  <si>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</si>
  <si>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</si>
  <si>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</si>
  <si>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</si>
  <si>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</si>
  <si>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</si>
  <si>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</si>
  <si>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</si>
  <si>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</si>
  <si>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</si>
  <si>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</si>
  <si>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</si>
  <si>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</si>
  <si>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</si>
  <si>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</si>
  <si>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</si>
  <si>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</si>
  <si>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</si>
  <si>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</si>
  <si>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</si>
  <si>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</si>
  <si>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</si>
  <si>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</si>
  <si>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</si>
  <si>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</si>
  <si>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</si>
  <si>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</si>
  <si>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</si>
  <si>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Департамент маркетинга и рекламы</t>
  </si>
  <si>
    <t>Веду переписку с ключевыми партнерами по согласованию медиапланов</t>
  </si>
  <si>
    <t>Пишу инфоповоды для рассылок</t>
  </si>
  <si>
    <t>Отправляю партнеру макеты баннеров и инфоповод</t>
  </si>
  <si>
    <t>Пишу отделу контента о запуске рассылки</t>
  </si>
  <si>
    <t>Вношу корректировки в тексты/баннеры по согласованию с партнером</t>
  </si>
  <si>
    <t>Взаимодействую с пресс-секретарем по поводу запуска активностей для B2C аудитории</t>
  </si>
  <si>
    <t>Договариваюсь с партнерами о дате проведения вебинаров</t>
  </si>
  <si>
    <t>Согласую с отделом контента детали проведения вебинаров</t>
  </si>
  <si>
    <t>Согласовываю с партнерами радио</t>
  </si>
  <si>
    <t>Взаимодействую с пресс-секретарем по поводу запуска радио</t>
  </si>
  <si>
    <t>Делаю скриншоты вышедших маркетинговых активностей и отправляю их партнеру</t>
  </si>
  <si>
    <t>Отправляю на постановку баннеры для Profi.Travel и Sletat</t>
  </si>
  <si>
    <t>Подготавливаю отчеты для партнеров о завершении маркетинговых активностей</t>
  </si>
  <si>
    <t>Другое (согласование условий)</t>
  </si>
  <si>
    <t>Другое (сбор информационных данных)</t>
  </si>
  <si>
    <t>Другое (передача материалов)</t>
  </si>
  <si>
    <t>Другое (редактирование)</t>
  </si>
  <si>
    <t>Другое (промежуточная отчетность)</t>
  </si>
  <si>
    <t>Другое (коммуникация внутри отдела)</t>
  </si>
  <si>
    <t>Другое (координирование)</t>
  </si>
  <si>
    <t>Другое (аналитика и подведение итогов)</t>
  </si>
  <si>
    <t>Браун</t>
  </si>
  <si>
    <t>Прописываю заголовки для макетов баннеров для сайтов Space Travel и Travel Luxe</t>
  </si>
  <si>
    <t>Прописываю заголовки для макетов баннеров для внешних площадок Profi.travel и Sletat.ru</t>
  </si>
  <si>
    <t>Корректирую и при необходимости пишу инфоповоды для B2C активностей</t>
  </si>
  <si>
    <t>Другое (аналитика)</t>
  </si>
  <si>
    <t>Отправляю ссылки на сам вебинар и тест и остаюсь на связи с партнером до окончания вебинара</t>
  </si>
  <si>
    <t>Запрашиваю статистику по продажам у отдела продукта для отчета</t>
  </si>
  <si>
    <t>Запрашиваю статистику по рекламным кампаниям</t>
  </si>
  <si>
    <t>Другое (аналитика и коммуникация внутри отдела)</t>
  </si>
  <si>
    <t>Другое (контроль публикаций)</t>
  </si>
  <si>
    <t>Отслеживаю публикацию вышедших партнерских постов в соцсетях</t>
  </si>
  <si>
    <t>Ставлю задачу в отдел контента на создание лендинга</t>
  </si>
  <si>
    <t>Собираю текстовый макет для лендинга</t>
  </si>
  <si>
    <t>Менеджер по рекламе</t>
  </si>
  <si>
    <t>Отправляю для SMM необходимые материалы для постов по вышедшим рассылкам</t>
  </si>
  <si>
    <t>Взаимодействую с пресс-секретарем по поводу написания и публикации статей на внешних площадках</t>
  </si>
  <si>
    <t>Передаю в отдел ссылки на медиатеку для создания баннеров, материалы для добавления презентация на площадки для вебинара или готовы тексты для рассылок</t>
  </si>
  <si>
    <t>Передаю в отдел все необходимые материалы для верстки макета и дальнейшего добавления на сайт</t>
  </si>
  <si>
    <t>Сообщаю в комментарях к задаче по рассылке о том, что баннеры и текст согласованы и их можно публиковать</t>
  </si>
  <si>
    <t xml:space="preserve">Добавляю в контент-план (гугл-таблицу SMM) инфоповод и ссылки от партнера для создания постов </t>
  </si>
  <si>
    <t>Пишу в тг-канал СММ о наличии постов и в какое время они будут опубликованы</t>
  </si>
  <si>
    <t>Другое (приходится отслеживать публикации т.к они иногда не выходят из-за технических сбоев)</t>
  </si>
  <si>
    <t>Коммуникация внутри отдела, которая требует запрос активностей через сотрудника отдела</t>
  </si>
  <si>
    <t>Запрос статистики по продажам по Малайзии</t>
  </si>
  <si>
    <t>Коммуникация внутри отдела, которая требует запрос статистики через сотрудника отдела</t>
  </si>
  <si>
    <t>Ставлю задачи на отдел контента: баннеры, вебинары, рассылки</t>
  </si>
  <si>
    <t>Запрашиваю у партнеров инфоповоды, фото и логотипы</t>
  </si>
  <si>
    <t>Уточняю о наличии слотов и других технических моментах</t>
  </si>
  <si>
    <t>Другое (стратегия и аналитика)</t>
  </si>
  <si>
    <t>Создаю медиапланы рекламных кампаний для ключевых партнеров компании</t>
  </si>
  <si>
    <t>Переписываюсь с продуктологами по поводу уточнения деталий спецпредложений, публикации информации на сайте space travel и вопросов касающихся бронирований</t>
  </si>
  <si>
    <t>Другое (коммуникация с продуктовыми отделами)</t>
  </si>
  <si>
    <t>Составляю и пишу письмо по почте</t>
  </si>
  <si>
    <t>Запрашиваю у партнеров презентации и другие материалы для подготовки к вебинару, а также дату тестирования площадки</t>
  </si>
  <si>
    <t>Составляю программу вебинара на основе тезисов или презинтации, которую присылает партнер</t>
  </si>
  <si>
    <t>Медиакит Space Travel</t>
  </si>
  <si>
    <t>Просматриваю медиакиты сторонних площадок для анализа стоимость и выбора подходящей площадки для маркетинговой активности</t>
  </si>
  <si>
    <t>Использую онлайн конверторы для скачивания и форматирования предоставляемых материалов</t>
  </si>
  <si>
    <t>Если партнер предоставляет мало инфоповода, то просматриваю и беру информацию на официальных сайтах отелей или офисов по туризму</t>
  </si>
  <si>
    <t>Предоставляю ссылки на подбор тура сайта Space Travel</t>
  </si>
  <si>
    <t>Ожидается, что в ходе переписки будут достигнуты конкретные договоренности и получены письменные подтверждения, что станет результатом — утвержденными медиапланами и графиком маркетинговых активностей для запуска</t>
  </si>
  <si>
    <t>Разработать стратегию продвижения отеля или офиса по туризму совместно с компанией Space Travel, и результатом станут готовые к согласованию или реализации медиапланы, детализирующие каналы, бюджеты, сроки и KPI рекламных кампаний для партнеров</t>
  </si>
  <si>
    <t>Другое (на площадке МТС Линк часто возникают технические трудности)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</si>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</sst>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4" fillId="0" borderId="9" xfId="0" applyFont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0" fillId="0" borderId="4" xfId="0" applyBorder="1"/>
    <xf numFmtId="0" fontId="0" fillId="0" borderId="6" xfId="0" applyBorder="1"/>
    <xf numFmtId="0" fontId="4" fillId="3" borderId="5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prosnik_somova.xlsx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  <sheetName val="ШАБЛОН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1" t="s">
        <v>113</v>
      </c>
      <c r="B2" s="21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1" t="s">
        <v>115</v>
      </c>
      <c r="B3" s="21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1" t="s">
        <v>117</v>
      </c>
      <c r="B4" s="21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1" t="s">
        <v>201</v>
      </c>
      <c r="B5" s="21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1" t="s">
        <v>119</v>
      </c>
      <c r="B6" s="21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1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1" t="s">
        <v>56</v>
      </c>
      <c r="B8" s="21" t="s">
        <v>54</v>
      </c>
      <c r="J8" s="2" t="s">
        <v>47</v>
      </c>
    </row>
    <row r="9" spans="1:11" x14ac:dyDescent="0.25">
      <c r="A9" s="21" t="s">
        <v>202</v>
      </c>
      <c r="B9" s="21" t="s">
        <v>55</v>
      </c>
    </row>
    <row r="10" spans="1:11" x14ac:dyDescent="0.25">
      <c r="A10" s="21" t="s">
        <v>59</v>
      </c>
      <c r="B10" s="21" t="s">
        <v>121</v>
      </c>
    </row>
    <row r="11" spans="1:11" x14ac:dyDescent="0.25">
      <c r="A11" s="21" t="s">
        <v>73</v>
      </c>
      <c r="B11" s="21" t="s">
        <v>57</v>
      </c>
    </row>
    <row r="12" spans="1:11" x14ac:dyDescent="0.25">
      <c r="A12" s="21" t="s">
        <v>122</v>
      </c>
      <c r="B12" s="21" t="s">
        <v>58</v>
      </c>
    </row>
    <row r="13" spans="1:11" x14ac:dyDescent="0.25">
      <c r="B13" s="21" t="s">
        <v>60</v>
      </c>
    </row>
    <row r="14" spans="1:11" x14ac:dyDescent="0.25">
      <c r="A14" s="22"/>
      <c r="B14" s="21" t="s">
        <v>123</v>
      </c>
    </row>
    <row r="15" spans="1:11" x14ac:dyDescent="0.25">
      <c r="A15" s="22"/>
      <c r="B15" s="21" t="s">
        <v>124</v>
      </c>
    </row>
    <row r="16" spans="1:11" x14ac:dyDescent="0.25">
      <c r="A16" s="23"/>
      <c r="B16" s="21" t="s">
        <v>125</v>
      </c>
    </row>
    <row r="17" spans="1:2" x14ac:dyDescent="0.25">
      <c r="A17" s="23"/>
      <c r="B17" s="21" t="s">
        <v>126</v>
      </c>
    </row>
    <row r="18" spans="1:2" x14ac:dyDescent="0.25">
      <c r="A18" s="23"/>
      <c r="B18" s="21" t="s">
        <v>61</v>
      </c>
    </row>
    <row r="19" spans="1:2" x14ac:dyDescent="0.25">
      <c r="A19" s="23"/>
      <c r="B19" s="21" t="s">
        <v>62</v>
      </c>
    </row>
    <row r="20" spans="1:2" x14ac:dyDescent="0.25">
      <c r="A20" s="23"/>
      <c r="B20" s="21" t="s">
        <v>63</v>
      </c>
    </row>
    <row r="21" spans="1:2" ht="15.75" customHeight="1" x14ac:dyDescent="0.25">
      <c r="A21" s="23"/>
      <c r="B21" s="21" t="s">
        <v>64</v>
      </c>
    </row>
    <row r="22" spans="1:2" ht="15.75" customHeight="1" x14ac:dyDescent="0.25">
      <c r="A22" s="23"/>
      <c r="B22" s="21" t="s">
        <v>65</v>
      </c>
    </row>
    <row r="23" spans="1:2" ht="15.75" customHeight="1" x14ac:dyDescent="0.25">
      <c r="A23" s="23"/>
      <c r="B23" s="21" t="s">
        <v>66</v>
      </c>
    </row>
    <row r="24" spans="1:2" ht="15.75" customHeight="1" x14ac:dyDescent="0.25">
      <c r="A24" s="23"/>
      <c r="B24" s="21" t="s">
        <v>67</v>
      </c>
    </row>
    <row r="25" spans="1:2" ht="15.75" customHeight="1" x14ac:dyDescent="0.25">
      <c r="A25" s="23"/>
      <c r="B25" s="21" t="s">
        <v>68</v>
      </c>
    </row>
    <row r="26" spans="1:2" ht="15.75" customHeight="1" x14ac:dyDescent="0.25">
      <c r="A26" s="23"/>
      <c r="B26" s="21" t="s">
        <v>69</v>
      </c>
    </row>
    <row r="27" spans="1:2" ht="15.75" customHeight="1" x14ac:dyDescent="0.25">
      <c r="A27" s="23"/>
      <c r="B27" s="21" t="s">
        <v>70</v>
      </c>
    </row>
    <row r="28" spans="1:2" ht="15.75" customHeight="1" x14ac:dyDescent="0.25">
      <c r="A28" s="23"/>
      <c r="B28" s="21" t="s">
        <v>127</v>
      </c>
    </row>
    <row r="29" spans="1:2" ht="15.75" customHeight="1" x14ac:dyDescent="0.25">
      <c r="A29" s="23"/>
      <c r="B29" s="21" t="s">
        <v>71</v>
      </c>
    </row>
    <row r="30" spans="1:2" ht="15.75" customHeight="1" x14ac:dyDescent="0.25">
      <c r="A30" s="23"/>
      <c r="B30" s="21" t="s">
        <v>128</v>
      </c>
    </row>
    <row r="31" spans="1:2" ht="15.75" customHeight="1" x14ac:dyDescent="0.25">
      <c r="A31" s="23"/>
      <c r="B31" s="21" t="s">
        <v>129</v>
      </c>
    </row>
    <row r="32" spans="1:2" ht="15.75" customHeight="1" x14ac:dyDescent="0.25">
      <c r="A32" s="23"/>
      <c r="B32" s="21" t="s">
        <v>72</v>
      </c>
    </row>
    <row r="33" spans="1:2" ht="15.75" customHeight="1" x14ac:dyDescent="0.25">
      <c r="A33" s="23"/>
      <c r="B33" s="21" t="s">
        <v>203</v>
      </c>
    </row>
    <row r="34" spans="1:2" ht="15.75" customHeight="1" x14ac:dyDescent="0.25">
      <c r="A34" s="22"/>
      <c r="B34" s="21" t="s">
        <v>130</v>
      </c>
    </row>
    <row r="35" spans="1:2" ht="15.75" customHeight="1" x14ac:dyDescent="0.25">
      <c r="B35" s="21" t="s">
        <v>131</v>
      </c>
    </row>
    <row r="36" spans="1:2" ht="15.75" customHeight="1" x14ac:dyDescent="0.25">
      <c r="B36" s="21" t="s">
        <v>132</v>
      </c>
    </row>
    <row r="37" spans="1:2" ht="15.75" customHeight="1" x14ac:dyDescent="0.25">
      <c r="B37" s="54" t="s">
        <v>133</v>
      </c>
    </row>
    <row r="38" spans="1:2" ht="15.75" customHeight="1" x14ac:dyDescent="0.25">
      <c r="B38" s="24" t="s">
        <v>134</v>
      </c>
    </row>
    <row r="39" spans="1:2" ht="15.75" customHeight="1" x14ac:dyDescent="0.25">
      <c r="B39" s="21" t="s">
        <v>201</v>
      </c>
    </row>
    <row r="40" spans="1:2" ht="15.75" customHeight="1" x14ac:dyDescent="0.25">
      <c r="B40" s="21" t="s">
        <v>56</v>
      </c>
    </row>
    <row r="41" spans="1:2" ht="15.75" customHeight="1" x14ac:dyDescent="0.25">
      <c r="B41" s="54" t="s">
        <v>135</v>
      </c>
    </row>
    <row r="42" spans="1:2" ht="15.75" customHeight="1" x14ac:dyDescent="0.25">
      <c r="B42" t="s">
        <v>204</v>
      </c>
    </row>
    <row r="43" spans="1:2" ht="15.75" customHeight="1" x14ac:dyDescent="0.25">
      <c r="B43" t="s">
        <v>205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6"/>
  <sheetViews>
    <sheetView tabSelected="1" topLeftCell="C34" zoomScale="70" zoomScaleNormal="70" workbookViewId="0">
      <selection activeCell="J39" activeCellId="4" sqref="C5 P38:P40 N38:N40 L38:L40 J38:J40 L32:L36 N32:N36 P32:P36 R32:R36 R38:R40 R11:R30 P11:P30 N11:N30 L11:L30 J11:J30 J32:J36"/>
    </sheetView>
  </sheetViews>
  <sheetFormatPr defaultColWidth="14.42578125" defaultRowHeight="15" customHeight="1" x14ac:dyDescent="0.25"/>
  <cols>
    <col min="1" max="1" width="24.2851562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57" t="s">
        <v>74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9"/>
    </row>
    <row r="3" spans="1:26" x14ac:dyDescent="0.25">
      <c r="B3" s="3" t="s">
        <v>75</v>
      </c>
      <c r="C3" s="60" t="s">
        <v>158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</row>
    <row r="4" spans="1:26" x14ac:dyDescent="0.25">
      <c r="B4" s="3" t="s">
        <v>76</v>
      </c>
      <c r="C4" s="61" t="s">
        <v>136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</row>
    <row r="5" spans="1:26" x14ac:dyDescent="0.25">
      <c r="B5" s="3" t="s">
        <v>77</v>
      </c>
      <c r="C5" s="61" t="s">
        <v>61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9"/>
    </row>
    <row r="6" spans="1:26" x14ac:dyDescent="0.25">
      <c r="B6" s="3" t="s">
        <v>78</v>
      </c>
      <c r="C6" s="60" t="s">
        <v>171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9"/>
    </row>
    <row r="8" spans="1:26" ht="15.75" x14ac:dyDescent="0.25">
      <c r="A8" s="62" t="s">
        <v>79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0" customFormat="1" ht="48.6" customHeight="1" x14ac:dyDescent="0.25">
      <c r="A10" s="15" t="s">
        <v>112</v>
      </c>
      <c r="B10" s="13" t="s">
        <v>107</v>
      </c>
      <c r="C10" s="14" t="s">
        <v>108</v>
      </c>
      <c r="D10" s="14" t="s">
        <v>108</v>
      </c>
      <c r="E10" s="14" t="s">
        <v>108</v>
      </c>
      <c r="F10" s="13" t="s">
        <v>110</v>
      </c>
      <c r="G10" s="16"/>
      <c r="H10" s="17"/>
      <c r="I10" s="17"/>
      <c r="J10" s="14" t="s">
        <v>108</v>
      </c>
      <c r="K10" s="18" t="s">
        <v>109</v>
      </c>
      <c r="L10" s="14" t="s">
        <v>108</v>
      </c>
      <c r="M10" s="18" t="s">
        <v>109</v>
      </c>
      <c r="N10" s="14" t="s">
        <v>108</v>
      </c>
      <c r="O10" s="18" t="s">
        <v>109</v>
      </c>
      <c r="P10" s="14" t="s">
        <v>108</v>
      </c>
      <c r="Q10" s="18" t="s">
        <v>109</v>
      </c>
      <c r="R10" s="14" t="s">
        <v>108</v>
      </c>
      <c r="S10" s="18" t="s">
        <v>109</v>
      </c>
      <c r="T10" s="17"/>
      <c r="U10" s="17"/>
      <c r="V10" s="17" t="s">
        <v>111</v>
      </c>
      <c r="W10" s="17"/>
      <c r="X10" s="17"/>
      <c r="Y10" s="19"/>
      <c r="Z10" s="19"/>
    </row>
    <row r="11" spans="1:26" ht="135" customHeight="1" x14ac:dyDescent="0.25">
      <c r="A11" s="6">
        <v>1</v>
      </c>
      <c r="B11" s="51" t="s">
        <v>137</v>
      </c>
      <c r="C11" s="45" t="s">
        <v>11</v>
      </c>
      <c r="D11" s="45" t="s">
        <v>12</v>
      </c>
      <c r="E11" s="46" t="s">
        <v>13</v>
      </c>
      <c r="F11" s="40">
        <v>480</v>
      </c>
      <c r="G11" s="36" t="s">
        <v>150</v>
      </c>
      <c r="H11" s="7"/>
      <c r="I11" s="7"/>
      <c r="J11" s="8"/>
      <c r="K11" s="7"/>
      <c r="L11" s="8"/>
      <c r="M11" s="7"/>
      <c r="N11" s="8"/>
      <c r="O11" s="7"/>
      <c r="P11" s="8"/>
      <c r="Q11" s="7"/>
      <c r="R11" s="8"/>
      <c r="S11" s="7"/>
      <c r="T11" s="7" t="s">
        <v>193</v>
      </c>
      <c r="U11" s="7"/>
      <c r="V11" s="8" t="s">
        <v>31</v>
      </c>
      <c r="W11" s="7" t="s">
        <v>198</v>
      </c>
      <c r="X11" s="7"/>
    </row>
    <row r="12" spans="1:26" ht="135" customHeight="1" x14ac:dyDescent="0.25">
      <c r="A12" s="6">
        <v>2</v>
      </c>
      <c r="B12" s="51" t="s">
        <v>187</v>
      </c>
      <c r="C12" s="45" t="s">
        <v>11</v>
      </c>
      <c r="D12" s="45" t="s">
        <v>21</v>
      </c>
      <c r="E12" s="46" t="s">
        <v>46</v>
      </c>
      <c r="F12" s="40">
        <v>180</v>
      </c>
      <c r="G12" s="36" t="s">
        <v>186</v>
      </c>
      <c r="H12" s="7"/>
      <c r="I12" s="7"/>
      <c r="J12" s="8"/>
      <c r="K12" s="7"/>
      <c r="L12" s="8"/>
      <c r="M12" s="7"/>
      <c r="N12" s="8"/>
      <c r="O12" s="7"/>
      <c r="P12" s="8"/>
      <c r="Q12" s="7"/>
      <c r="R12" s="8"/>
      <c r="S12" s="7"/>
      <c r="T12" s="7" t="s">
        <v>193</v>
      </c>
      <c r="U12" s="7" t="s">
        <v>194</v>
      </c>
      <c r="V12" s="8" t="s">
        <v>31</v>
      </c>
      <c r="W12" s="7" t="s">
        <v>199</v>
      </c>
      <c r="X12" s="7"/>
    </row>
    <row r="13" spans="1:26" ht="201.75" customHeight="1" x14ac:dyDescent="0.25">
      <c r="A13" s="6">
        <v>3</v>
      </c>
      <c r="B13" s="36" t="s">
        <v>184</v>
      </c>
      <c r="C13" s="47" t="s">
        <v>11</v>
      </c>
      <c r="D13" s="47" t="s">
        <v>21</v>
      </c>
      <c r="E13" s="47" t="s">
        <v>13</v>
      </c>
      <c r="F13" s="41">
        <v>300</v>
      </c>
      <c r="G13" s="36" t="s">
        <v>151</v>
      </c>
      <c r="H13" s="7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7"/>
      <c r="U13" s="7" t="s">
        <v>195</v>
      </c>
      <c r="V13" s="8" t="s">
        <v>31</v>
      </c>
      <c r="W13" s="7"/>
      <c r="X13" s="7"/>
    </row>
    <row r="14" spans="1:26" ht="86.25" customHeight="1" x14ac:dyDescent="0.25">
      <c r="A14" s="6">
        <v>4</v>
      </c>
      <c r="B14" s="36" t="s">
        <v>138</v>
      </c>
      <c r="C14" s="47" t="s">
        <v>11</v>
      </c>
      <c r="D14" s="47" t="s">
        <v>21</v>
      </c>
      <c r="E14" s="47" t="s">
        <v>13</v>
      </c>
      <c r="F14" s="41">
        <v>300</v>
      </c>
      <c r="G14" s="36" t="s">
        <v>24</v>
      </c>
      <c r="H14" s="7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 t="s">
        <v>196</v>
      </c>
      <c r="V14" s="8" t="s">
        <v>31</v>
      </c>
      <c r="W14" s="7"/>
      <c r="X14" s="7"/>
    </row>
    <row r="15" spans="1:26" ht="54.75" customHeight="1" x14ac:dyDescent="0.25">
      <c r="A15" s="6">
        <v>5</v>
      </c>
      <c r="B15" s="36" t="s">
        <v>159</v>
      </c>
      <c r="C15" s="47" t="s">
        <v>11</v>
      </c>
      <c r="D15" s="47" t="s">
        <v>21</v>
      </c>
      <c r="E15" s="47" t="s">
        <v>13</v>
      </c>
      <c r="F15" s="41">
        <v>70</v>
      </c>
      <c r="G15" s="36" t="s">
        <v>24</v>
      </c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/>
      <c r="X15" s="7"/>
    </row>
    <row r="16" spans="1:26" ht="54.75" customHeight="1" x14ac:dyDescent="0.25">
      <c r="A16" s="6">
        <v>6</v>
      </c>
      <c r="B16" s="36" t="s">
        <v>160</v>
      </c>
      <c r="C16" s="47" t="s">
        <v>11</v>
      </c>
      <c r="D16" s="47" t="s">
        <v>21</v>
      </c>
      <c r="E16" s="47" t="s">
        <v>13</v>
      </c>
      <c r="F16" s="41">
        <v>70</v>
      </c>
      <c r="G16" s="36" t="s">
        <v>24</v>
      </c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31</v>
      </c>
      <c r="W16" s="7"/>
      <c r="X16" s="7"/>
    </row>
    <row r="17" spans="1:24" ht="163.5" customHeight="1" x14ac:dyDescent="0.25">
      <c r="A17" s="6">
        <v>7</v>
      </c>
      <c r="B17" s="36" t="s">
        <v>170</v>
      </c>
      <c r="C17" s="47" t="s">
        <v>11</v>
      </c>
      <c r="D17" s="47" t="s">
        <v>12</v>
      </c>
      <c r="E17" s="47" t="s">
        <v>39</v>
      </c>
      <c r="F17" s="41">
        <v>350</v>
      </c>
      <c r="G17" s="36" t="s">
        <v>24</v>
      </c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 t="s">
        <v>196</v>
      </c>
      <c r="V17" s="8" t="s">
        <v>31</v>
      </c>
      <c r="W17" s="7"/>
      <c r="X17" s="7"/>
    </row>
    <row r="18" spans="1:24" ht="134.25" customHeight="1" x14ac:dyDescent="0.25">
      <c r="A18" s="6">
        <v>8</v>
      </c>
      <c r="B18" s="36" t="s">
        <v>183</v>
      </c>
      <c r="C18" s="47" t="s">
        <v>11</v>
      </c>
      <c r="D18" s="47" t="s">
        <v>21</v>
      </c>
      <c r="E18" s="47" t="s">
        <v>13</v>
      </c>
      <c r="F18" s="41">
        <v>15</v>
      </c>
      <c r="G18" s="36" t="s">
        <v>15</v>
      </c>
      <c r="H18" s="7"/>
      <c r="I18" s="7"/>
      <c r="J18" s="47" t="s">
        <v>57</v>
      </c>
      <c r="K18" s="36" t="s">
        <v>174</v>
      </c>
      <c r="L18" s="8"/>
      <c r="M18" s="7"/>
      <c r="N18" s="8"/>
      <c r="O18" s="7"/>
      <c r="P18" s="8"/>
      <c r="Q18" s="7"/>
      <c r="R18" s="8"/>
      <c r="S18" s="7"/>
      <c r="T18" s="7" t="s">
        <v>197</v>
      </c>
      <c r="U18" s="7"/>
      <c r="V18" s="8" t="s">
        <v>31</v>
      </c>
      <c r="W18" s="7"/>
      <c r="X18" s="7"/>
    </row>
    <row r="19" spans="1:24" ht="88.5" customHeight="1" x14ac:dyDescent="0.25">
      <c r="A19" s="6">
        <v>9</v>
      </c>
      <c r="B19" s="36" t="s">
        <v>169</v>
      </c>
      <c r="C19" s="47" t="s">
        <v>11</v>
      </c>
      <c r="D19" s="47" t="s">
        <v>12</v>
      </c>
      <c r="E19" s="47" t="s">
        <v>39</v>
      </c>
      <c r="F19" s="41">
        <v>10</v>
      </c>
      <c r="G19" s="36" t="s">
        <v>15</v>
      </c>
      <c r="H19" s="7"/>
      <c r="I19" s="7"/>
      <c r="J19" s="47" t="s">
        <v>57</v>
      </c>
      <c r="K19" s="36" t="s">
        <v>175</v>
      </c>
      <c r="L19" s="8"/>
      <c r="M19" s="7"/>
      <c r="N19" s="8"/>
      <c r="O19" s="7"/>
      <c r="P19" s="8"/>
      <c r="Q19" s="7"/>
      <c r="R19" s="8"/>
      <c r="S19" s="7"/>
      <c r="T19" s="7" t="s">
        <v>197</v>
      </c>
      <c r="U19" s="7"/>
      <c r="V19" s="8" t="s">
        <v>31</v>
      </c>
      <c r="W19" s="7"/>
      <c r="X19" s="7"/>
    </row>
    <row r="20" spans="1:24" ht="69" customHeight="1" x14ac:dyDescent="0.25">
      <c r="A20" s="6">
        <v>10</v>
      </c>
      <c r="B20" s="36" t="s">
        <v>139</v>
      </c>
      <c r="C20" s="47" t="s">
        <v>11</v>
      </c>
      <c r="D20" s="47" t="s">
        <v>21</v>
      </c>
      <c r="E20" s="47" t="s">
        <v>13</v>
      </c>
      <c r="F20" s="41">
        <v>120</v>
      </c>
      <c r="G20" s="36" t="s">
        <v>152</v>
      </c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 t="s">
        <v>31</v>
      </c>
      <c r="W20" s="7"/>
      <c r="X20" s="7"/>
    </row>
    <row r="21" spans="1:24" ht="90.75" customHeight="1" x14ac:dyDescent="0.25">
      <c r="A21" s="6">
        <v>11</v>
      </c>
      <c r="B21" s="36" t="s">
        <v>140</v>
      </c>
      <c r="C21" s="47" t="s">
        <v>11</v>
      </c>
      <c r="D21" s="47" t="s">
        <v>29</v>
      </c>
      <c r="E21" s="47" t="s">
        <v>22</v>
      </c>
      <c r="F21" s="41">
        <v>5</v>
      </c>
      <c r="G21" s="36" t="s">
        <v>15</v>
      </c>
      <c r="H21" s="7"/>
      <c r="I21" s="7"/>
      <c r="J21" s="47" t="s">
        <v>57</v>
      </c>
      <c r="K21" s="36" t="s">
        <v>176</v>
      </c>
      <c r="L21" s="8"/>
      <c r="M21" s="7"/>
      <c r="N21" s="8"/>
      <c r="O21" s="7"/>
      <c r="P21" s="8"/>
      <c r="Q21" s="7"/>
      <c r="R21" s="8"/>
      <c r="S21" s="7"/>
      <c r="T21" s="7"/>
      <c r="U21" s="7"/>
      <c r="V21" s="8" t="s">
        <v>31</v>
      </c>
      <c r="W21" s="7"/>
      <c r="X21" s="7"/>
    </row>
    <row r="22" spans="1:24" ht="78.75" customHeight="1" x14ac:dyDescent="0.25">
      <c r="A22" s="6">
        <v>12</v>
      </c>
      <c r="B22" s="36" t="s">
        <v>172</v>
      </c>
      <c r="C22" s="47" t="s">
        <v>11</v>
      </c>
      <c r="D22" s="47" t="s">
        <v>29</v>
      </c>
      <c r="E22" s="47" t="s">
        <v>22</v>
      </c>
      <c r="F22" s="41">
        <v>60</v>
      </c>
      <c r="G22" s="36" t="s">
        <v>151</v>
      </c>
      <c r="H22" s="7"/>
      <c r="I22" s="7"/>
      <c r="J22" s="47" t="s">
        <v>57</v>
      </c>
      <c r="K22" s="36" t="s">
        <v>177</v>
      </c>
      <c r="L22" s="8"/>
      <c r="M22" s="7"/>
      <c r="N22" s="8"/>
      <c r="O22" s="7"/>
      <c r="P22" s="8"/>
      <c r="Q22" s="7"/>
      <c r="R22" s="8"/>
      <c r="S22" s="7"/>
      <c r="T22" s="7"/>
      <c r="U22" s="7"/>
      <c r="V22" s="8" t="s">
        <v>23</v>
      </c>
      <c r="W22" s="7"/>
      <c r="X22" s="7"/>
    </row>
    <row r="23" spans="1:24" ht="134.25" customHeight="1" x14ac:dyDescent="0.25">
      <c r="A23" s="6">
        <v>13</v>
      </c>
      <c r="B23" s="36" t="s">
        <v>168</v>
      </c>
      <c r="C23" s="47" t="s">
        <v>11</v>
      </c>
      <c r="D23" s="47" t="s">
        <v>29</v>
      </c>
      <c r="E23" s="47" t="s">
        <v>13</v>
      </c>
      <c r="F23" s="41">
        <v>20</v>
      </c>
      <c r="G23" s="36" t="s">
        <v>167</v>
      </c>
      <c r="H23" s="36" t="s">
        <v>41</v>
      </c>
      <c r="I23" s="36" t="s">
        <v>179</v>
      </c>
      <c r="J23" s="47" t="s">
        <v>57</v>
      </c>
      <c r="K23" s="36" t="s">
        <v>178</v>
      </c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23</v>
      </c>
      <c r="W23" s="7"/>
      <c r="X23" s="7"/>
    </row>
    <row r="24" spans="1:24" ht="53.25" customHeight="1" x14ac:dyDescent="0.25">
      <c r="A24" s="6">
        <v>14</v>
      </c>
      <c r="B24" s="36" t="s">
        <v>141</v>
      </c>
      <c r="C24" s="47" t="s">
        <v>11</v>
      </c>
      <c r="D24" s="47" t="s">
        <v>21</v>
      </c>
      <c r="E24" s="47" t="s">
        <v>13</v>
      </c>
      <c r="F24" s="41">
        <v>60</v>
      </c>
      <c r="G24" s="36" t="s">
        <v>153</v>
      </c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 t="s">
        <v>31</v>
      </c>
      <c r="W24" s="7"/>
      <c r="X24" s="7"/>
    </row>
    <row r="25" spans="1:24" ht="53.25" customHeight="1" x14ac:dyDescent="0.25">
      <c r="A25" s="6">
        <v>15</v>
      </c>
      <c r="B25" s="36" t="s">
        <v>147</v>
      </c>
      <c r="C25" s="47" t="s">
        <v>11</v>
      </c>
      <c r="D25" s="47" t="s">
        <v>29</v>
      </c>
      <c r="E25" s="47" t="s">
        <v>22</v>
      </c>
      <c r="F25" s="41">
        <v>20</v>
      </c>
      <c r="G25" s="36" t="s">
        <v>154</v>
      </c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 t="s">
        <v>23</v>
      </c>
      <c r="W25" s="7"/>
      <c r="X25" s="7"/>
    </row>
    <row r="26" spans="1:24" ht="54" customHeight="1" x14ac:dyDescent="0.25">
      <c r="A26" s="6">
        <v>16</v>
      </c>
      <c r="B26" s="36" t="s">
        <v>161</v>
      </c>
      <c r="C26" s="47" t="s">
        <v>11</v>
      </c>
      <c r="D26" s="47" t="s">
        <v>21</v>
      </c>
      <c r="E26" s="47" t="s">
        <v>46</v>
      </c>
      <c r="F26" s="41">
        <v>60</v>
      </c>
      <c r="G26" s="36" t="s">
        <v>24</v>
      </c>
      <c r="H26" s="7"/>
      <c r="I26" s="7"/>
      <c r="J26" s="8"/>
      <c r="K26" s="7"/>
      <c r="L26" s="8"/>
      <c r="M26" s="7"/>
      <c r="N26" s="8"/>
      <c r="O26" s="7"/>
      <c r="P26" s="8"/>
      <c r="Q26" s="7"/>
      <c r="R26" s="8"/>
      <c r="S26" s="7"/>
      <c r="T26" s="7"/>
      <c r="U26" s="7"/>
      <c r="V26" s="8" t="s">
        <v>31</v>
      </c>
      <c r="W26" s="7"/>
      <c r="X26" s="7"/>
    </row>
    <row r="27" spans="1:24" ht="75.75" customHeight="1" x14ac:dyDescent="0.25">
      <c r="A27" s="6">
        <v>17</v>
      </c>
      <c r="B27" s="36" t="s">
        <v>142</v>
      </c>
      <c r="C27" s="47" t="s">
        <v>11</v>
      </c>
      <c r="D27" s="47" t="s">
        <v>29</v>
      </c>
      <c r="E27" s="47" t="s">
        <v>30</v>
      </c>
      <c r="F27" s="41">
        <v>60</v>
      </c>
      <c r="G27" s="36" t="s">
        <v>155</v>
      </c>
      <c r="H27" s="7"/>
      <c r="I27" s="7"/>
      <c r="J27" s="47" t="s">
        <v>61</v>
      </c>
      <c r="K27" s="36" t="s">
        <v>180</v>
      </c>
      <c r="L27" s="8"/>
      <c r="M27" s="7"/>
      <c r="N27" s="8"/>
      <c r="O27" s="7"/>
      <c r="P27" s="8"/>
      <c r="Q27" s="7"/>
      <c r="R27" s="8"/>
      <c r="S27" s="7"/>
      <c r="T27" s="7"/>
      <c r="U27" s="7"/>
      <c r="V27" s="8" t="s">
        <v>23</v>
      </c>
      <c r="W27" s="7"/>
      <c r="X27" s="7"/>
    </row>
    <row r="28" spans="1:24" ht="45.75" customHeight="1" x14ac:dyDescent="0.25">
      <c r="A28" s="6">
        <v>18</v>
      </c>
      <c r="B28" s="36" t="s">
        <v>143</v>
      </c>
      <c r="C28" s="47" t="s">
        <v>11</v>
      </c>
      <c r="D28" s="47" t="s">
        <v>29</v>
      </c>
      <c r="E28" s="47" t="s">
        <v>22</v>
      </c>
      <c r="F28" s="41">
        <v>60</v>
      </c>
      <c r="G28" s="36" t="s">
        <v>151</v>
      </c>
      <c r="H28" s="7"/>
      <c r="I28" s="7"/>
      <c r="J28" s="47"/>
      <c r="K28" s="36"/>
      <c r="L28" s="8"/>
      <c r="M28" s="7"/>
      <c r="N28" s="8"/>
      <c r="O28" s="7"/>
      <c r="P28" s="8"/>
      <c r="Q28" s="7"/>
      <c r="R28" s="8"/>
      <c r="S28" s="7"/>
      <c r="T28" s="7"/>
      <c r="U28" s="7"/>
      <c r="V28" s="8" t="s">
        <v>23</v>
      </c>
      <c r="W28" s="7"/>
      <c r="X28" s="7"/>
    </row>
    <row r="29" spans="1:24" ht="51" customHeight="1" x14ac:dyDescent="0.25">
      <c r="A29" s="6">
        <v>19</v>
      </c>
      <c r="B29" s="36" t="s">
        <v>144</v>
      </c>
      <c r="C29" s="47" t="s">
        <v>11</v>
      </c>
      <c r="D29" s="47" t="s">
        <v>29</v>
      </c>
      <c r="E29" s="47" t="s">
        <v>22</v>
      </c>
      <c r="F29" s="41">
        <v>60</v>
      </c>
      <c r="G29" s="36" t="s">
        <v>151</v>
      </c>
      <c r="H29" s="7" t="s">
        <v>200</v>
      </c>
      <c r="I29" s="7"/>
      <c r="J29" s="47" t="s">
        <v>57</v>
      </c>
      <c r="K29" s="36" t="s">
        <v>185</v>
      </c>
      <c r="L29" s="8"/>
      <c r="M29" s="7"/>
      <c r="N29" s="8"/>
      <c r="O29" s="7"/>
      <c r="P29" s="8"/>
      <c r="Q29" s="7"/>
      <c r="R29" s="8"/>
      <c r="S29" s="7"/>
      <c r="T29" s="7"/>
      <c r="U29" s="7"/>
      <c r="V29" s="8"/>
      <c r="W29" s="7"/>
      <c r="X29" s="7"/>
    </row>
    <row r="30" spans="1:24" ht="114" customHeight="1" x14ac:dyDescent="0.25">
      <c r="A30" s="6">
        <v>20</v>
      </c>
      <c r="B30" s="36" t="s">
        <v>191</v>
      </c>
      <c r="C30" s="47" t="s">
        <v>11</v>
      </c>
      <c r="D30" s="47" t="s">
        <v>29</v>
      </c>
      <c r="E30" s="47" t="s">
        <v>22</v>
      </c>
      <c r="F30" s="41">
        <v>90</v>
      </c>
      <c r="G30" s="36" t="s">
        <v>151</v>
      </c>
      <c r="H30" s="7"/>
      <c r="I30" s="7"/>
      <c r="J30" s="8"/>
      <c r="K30" s="7"/>
      <c r="L30" s="8"/>
      <c r="M30" s="7"/>
      <c r="N30" s="8"/>
      <c r="O30" s="7"/>
      <c r="P30" s="8"/>
      <c r="Q30" s="7"/>
      <c r="R30" s="8"/>
      <c r="S30" s="7"/>
      <c r="T30" s="7"/>
      <c r="U30" s="7"/>
      <c r="V30" s="8"/>
      <c r="W30" s="7"/>
      <c r="X30" s="7"/>
    </row>
    <row r="31" spans="1:24" ht="55.5" customHeight="1" x14ac:dyDescent="0.25">
      <c r="A31" s="6">
        <v>21</v>
      </c>
      <c r="B31" s="7" t="s">
        <v>192</v>
      </c>
      <c r="C31" s="8" t="s">
        <v>11</v>
      </c>
      <c r="D31" s="8" t="s">
        <v>29</v>
      </c>
      <c r="E31" s="8" t="s">
        <v>22</v>
      </c>
      <c r="F31" s="53">
        <v>25</v>
      </c>
      <c r="G31" s="7" t="s">
        <v>24</v>
      </c>
      <c r="H31" s="7"/>
      <c r="I31" s="7"/>
      <c r="J31" s="8" t="s">
        <v>135</v>
      </c>
      <c r="K31" s="7"/>
      <c r="L31" s="8"/>
      <c r="M31" s="7"/>
      <c r="N31" s="8"/>
      <c r="O31" s="7"/>
      <c r="P31" s="8"/>
      <c r="Q31" s="7"/>
      <c r="R31" s="8"/>
      <c r="S31" s="7"/>
      <c r="T31" s="7"/>
      <c r="U31" s="7"/>
      <c r="V31" s="8" t="s">
        <v>23</v>
      </c>
      <c r="W31" s="7"/>
      <c r="X31" s="7"/>
    </row>
    <row r="32" spans="1:24" ht="78" customHeight="1" x14ac:dyDescent="0.25">
      <c r="A32" s="6">
        <v>22</v>
      </c>
      <c r="B32" s="36" t="s">
        <v>163</v>
      </c>
      <c r="C32" s="47" t="s">
        <v>11</v>
      </c>
      <c r="D32" s="47" t="s">
        <v>29</v>
      </c>
      <c r="E32" s="47" t="s">
        <v>13</v>
      </c>
      <c r="F32" s="41">
        <v>120</v>
      </c>
      <c r="G32" s="36" t="s">
        <v>156</v>
      </c>
      <c r="H32" s="7"/>
      <c r="I32" s="7"/>
      <c r="J32" s="8"/>
      <c r="K32" s="7"/>
      <c r="L32" s="8"/>
      <c r="M32" s="7"/>
      <c r="N32" s="8"/>
      <c r="O32" s="7"/>
      <c r="P32" s="8"/>
      <c r="Q32" s="7"/>
      <c r="R32" s="8"/>
      <c r="S32" s="7"/>
      <c r="T32" s="7"/>
      <c r="U32" s="7"/>
      <c r="V32" s="8" t="s">
        <v>23</v>
      </c>
      <c r="W32" s="7"/>
      <c r="X32" s="7"/>
    </row>
    <row r="33" spans="1:24" ht="52.5" customHeight="1" x14ac:dyDescent="0.25">
      <c r="A33" s="6">
        <v>23</v>
      </c>
      <c r="B33" s="36" t="s">
        <v>145</v>
      </c>
      <c r="C33" s="47" t="s">
        <v>11</v>
      </c>
      <c r="D33" s="47" t="s">
        <v>29</v>
      </c>
      <c r="E33" s="47" t="s">
        <v>39</v>
      </c>
      <c r="F33" s="41">
        <v>120</v>
      </c>
      <c r="G33" s="36" t="s">
        <v>151</v>
      </c>
      <c r="H33" s="7"/>
      <c r="I33" s="7"/>
      <c r="J33" s="8"/>
      <c r="K33" s="7"/>
      <c r="L33" s="8"/>
      <c r="M33" s="7"/>
      <c r="N33" s="8"/>
      <c r="O33" s="7"/>
      <c r="P33" s="8"/>
      <c r="Q33" s="7"/>
      <c r="R33" s="8"/>
      <c r="S33" s="7"/>
      <c r="T33" s="7"/>
      <c r="U33" s="7"/>
      <c r="V33" s="8" t="s">
        <v>23</v>
      </c>
      <c r="W33" s="7"/>
      <c r="X33" s="7"/>
    </row>
    <row r="34" spans="1:24" ht="75.75" customHeight="1" x14ac:dyDescent="0.25">
      <c r="A34" s="25">
        <v>24</v>
      </c>
      <c r="B34" s="37" t="s">
        <v>146</v>
      </c>
      <c r="C34" s="48" t="s">
        <v>11</v>
      </c>
      <c r="D34" s="48" t="s">
        <v>29</v>
      </c>
      <c r="E34" s="48" t="s">
        <v>39</v>
      </c>
      <c r="F34" s="42">
        <v>120</v>
      </c>
      <c r="G34" s="37" t="s">
        <v>155</v>
      </c>
      <c r="H34" s="26"/>
      <c r="I34" s="26"/>
      <c r="J34" s="47" t="s">
        <v>61</v>
      </c>
      <c r="K34" s="36" t="s">
        <v>180</v>
      </c>
      <c r="L34" s="27"/>
      <c r="M34" s="26"/>
      <c r="N34" s="27"/>
      <c r="O34" s="26"/>
      <c r="P34" s="27"/>
      <c r="Q34" s="26"/>
      <c r="R34" s="27"/>
      <c r="S34" s="26"/>
      <c r="T34" s="26"/>
      <c r="U34" s="26"/>
      <c r="V34" s="27" t="s">
        <v>23</v>
      </c>
      <c r="W34" s="26"/>
      <c r="X34" s="26"/>
    </row>
    <row r="35" spans="1:24" s="35" customFormat="1" ht="74.25" customHeight="1" x14ac:dyDescent="0.25">
      <c r="A35" s="28">
        <v>25</v>
      </c>
      <c r="B35" s="38" t="s">
        <v>173</v>
      </c>
      <c r="C35" s="49" t="s">
        <v>11</v>
      </c>
      <c r="D35" s="49" t="s">
        <v>29</v>
      </c>
      <c r="E35" s="49" t="s">
        <v>39</v>
      </c>
      <c r="F35" s="43">
        <v>130</v>
      </c>
      <c r="G35" s="38" t="s">
        <v>155</v>
      </c>
      <c r="H35" s="29"/>
      <c r="I35" s="29"/>
      <c r="J35" s="47" t="s">
        <v>61</v>
      </c>
      <c r="K35" s="36" t="s">
        <v>180</v>
      </c>
      <c r="L35" s="30"/>
      <c r="M35" s="29"/>
      <c r="N35" s="30"/>
      <c r="O35" s="29"/>
      <c r="P35" s="30"/>
      <c r="Q35" s="29"/>
      <c r="R35" s="30"/>
      <c r="S35" s="29"/>
      <c r="T35" s="29"/>
      <c r="U35" s="29"/>
      <c r="V35" s="30" t="s">
        <v>23</v>
      </c>
      <c r="W35" s="29"/>
      <c r="X35" s="29"/>
    </row>
    <row r="36" spans="1:24" s="34" customFormat="1" ht="51" customHeight="1" x14ac:dyDescent="0.25">
      <c r="A36" s="31">
        <v>26</v>
      </c>
      <c r="B36" s="39" t="s">
        <v>148</v>
      </c>
      <c r="C36" s="50" t="s">
        <v>11</v>
      </c>
      <c r="D36" s="50" t="s">
        <v>29</v>
      </c>
      <c r="E36" s="50" t="s">
        <v>30</v>
      </c>
      <c r="F36" s="44">
        <v>10</v>
      </c>
      <c r="G36" s="39" t="s">
        <v>152</v>
      </c>
      <c r="H36" s="32"/>
      <c r="I36" s="32"/>
      <c r="J36" s="50"/>
      <c r="K36" s="39"/>
      <c r="L36" s="33"/>
      <c r="M36" s="32"/>
      <c r="N36" s="33"/>
      <c r="O36" s="32"/>
      <c r="P36" s="33"/>
      <c r="Q36" s="32"/>
      <c r="R36" s="33"/>
      <c r="S36" s="32"/>
      <c r="T36" s="32"/>
      <c r="U36" s="32"/>
      <c r="V36" s="33" t="s">
        <v>23</v>
      </c>
      <c r="W36" s="32"/>
      <c r="X36" s="32"/>
    </row>
    <row r="37" spans="1:24" ht="93" customHeight="1" x14ac:dyDescent="0.25">
      <c r="A37" s="6">
        <v>27</v>
      </c>
      <c r="B37" s="29" t="s">
        <v>188</v>
      </c>
      <c r="C37" s="30" t="s">
        <v>11</v>
      </c>
      <c r="D37" s="30" t="s">
        <v>29</v>
      </c>
      <c r="E37" s="30" t="s">
        <v>46</v>
      </c>
      <c r="F37" s="52">
        <v>30</v>
      </c>
      <c r="G37" s="29" t="s">
        <v>189</v>
      </c>
      <c r="H37" s="29"/>
      <c r="I37" s="29"/>
      <c r="J37" s="30" t="s">
        <v>123</v>
      </c>
      <c r="K37" s="29" t="s">
        <v>190</v>
      </c>
      <c r="L37" s="30" t="s">
        <v>124</v>
      </c>
      <c r="M37" s="29" t="s">
        <v>190</v>
      </c>
      <c r="N37" s="30" t="s">
        <v>125</v>
      </c>
      <c r="O37" s="29" t="s">
        <v>190</v>
      </c>
      <c r="P37" s="30" t="s">
        <v>130</v>
      </c>
      <c r="Q37" s="29" t="s">
        <v>190</v>
      </c>
      <c r="R37" s="30"/>
      <c r="S37" s="29"/>
      <c r="T37" s="29"/>
      <c r="U37" s="29"/>
      <c r="V37" s="30" t="s">
        <v>23</v>
      </c>
      <c r="W37" s="29"/>
      <c r="X37" s="29"/>
    </row>
    <row r="38" spans="1:24" s="34" customFormat="1" ht="51" customHeight="1" x14ac:dyDescent="0.25">
      <c r="A38" s="31">
        <v>28</v>
      </c>
      <c r="B38" s="39" t="s">
        <v>164</v>
      </c>
      <c r="C38" s="50" t="s">
        <v>11</v>
      </c>
      <c r="D38" s="50" t="s">
        <v>29</v>
      </c>
      <c r="E38" s="50" t="s">
        <v>46</v>
      </c>
      <c r="F38" s="44">
        <v>10</v>
      </c>
      <c r="G38" s="38" t="s">
        <v>162</v>
      </c>
      <c r="H38" s="32"/>
      <c r="I38" s="32"/>
      <c r="J38" s="50" t="s">
        <v>130</v>
      </c>
      <c r="K38" s="39" t="s">
        <v>181</v>
      </c>
      <c r="L38" s="33"/>
      <c r="M38" s="32"/>
      <c r="N38" s="33"/>
      <c r="O38" s="32"/>
      <c r="P38" s="33"/>
      <c r="Q38" s="32"/>
      <c r="R38" s="33"/>
      <c r="S38" s="32"/>
      <c r="T38" s="32"/>
      <c r="U38" s="32"/>
      <c r="V38" s="33" t="s">
        <v>23</v>
      </c>
      <c r="W38" s="32"/>
      <c r="X38" s="32"/>
    </row>
    <row r="39" spans="1:24" s="34" customFormat="1" ht="69" customHeight="1" x14ac:dyDescent="0.25">
      <c r="A39" s="31">
        <v>29</v>
      </c>
      <c r="B39" s="39" t="s">
        <v>165</v>
      </c>
      <c r="C39" s="50" t="s">
        <v>11</v>
      </c>
      <c r="D39" s="50" t="s">
        <v>29</v>
      </c>
      <c r="E39" s="50" t="s">
        <v>46</v>
      </c>
      <c r="F39" s="44">
        <v>15</v>
      </c>
      <c r="G39" s="38" t="s">
        <v>166</v>
      </c>
      <c r="H39" s="32"/>
      <c r="I39" s="32"/>
      <c r="J39" s="47" t="s">
        <v>61</v>
      </c>
      <c r="K39" s="36" t="s">
        <v>182</v>
      </c>
      <c r="L39" s="33"/>
      <c r="M39" s="32"/>
      <c r="N39" s="33"/>
      <c r="O39" s="32"/>
      <c r="P39" s="33"/>
      <c r="Q39" s="32"/>
      <c r="R39" s="33"/>
      <c r="S39" s="32"/>
      <c r="T39" s="32"/>
      <c r="U39" s="32"/>
      <c r="V39" s="33" t="s">
        <v>23</v>
      </c>
      <c r="W39" s="32"/>
      <c r="X39" s="32"/>
    </row>
    <row r="40" spans="1:24" ht="51" customHeight="1" x14ac:dyDescent="0.25">
      <c r="A40" s="28">
        <v>30</v>
      </c>
      <c r="B40" s="38" t="s">
        <v>149</v>
      </c>
      <c r="C40" s="49" t="s">
        <v>11</v>
      </c>
      <c r="D40" s="49" t="s">
        <v>29</v>
      </c>
      <c r="E40" s="49" t="s">
        <v>46</v>
      </c>
      <c r="F40" s="43">
        <v>480</v>
      </c>
      <c r="G40" s="38" t="s">
        <v>157</v>
      </c>
      <c r="H40" s="29"/>
      <c r="I40" s="29"/>
      <c r="J40" s="30"/>
      <c r="K40" s="29"/>
      <c r="L40" s="30"/>
      <c r="M40" s="29"/>
      <c r="N40" s="30"/>
      <c r="O40" s="29"/>
      <c r="P40" s="30"/>
      <c r="Q40" s="29"/>
      <c r="R40" s="30"/>
      <c r="S40" s="29"/>
      <c r="T40" s="29"/>
      <c r="U40" s="29"/>
      <c r="V40" s="30" t="s">
        <v>23</v>
      </c>
      <c r="W40" s="29"/>
      <c r="X40" s="29"/>
    </row>
    <row r="41" spans="1:24" ht="15.75" customHeight="1" x14ac:dyDescent="0.25"/>
    <row r="42" spans="1:24" ht="15.75" customHeight="1" x14ac:dyDescent="0.25">
      <c r="A42" s="9" t="s">
        <v>103</v>
      </c>
    </row>
    <row r="43" spans="1:24" ht="15.75" customHeight="1" x14ac:dyDescent="0.25">
      <c r="A43" s="10" t="s">
        <v>104</v>
      </c>
      <c r="B43" s="55" t="e">
        <f ca="1">Выпадающий список(ТОЛЬКО из списка)</f>
        <v>#NAME?</v>
      </c>
      <c r="C43" s="56"/>
      <c r="D43" s="56"/>
      <c r="E43" s="56"/>
    </row>
    <row r="44" spans="1:24" ht="15.75" customHeight="1" x14ac:dyDescent="0.25">
      <c r="A44" s="11" t="s">
        <v>105</v>
      </c>
      <c r="B44" s="55" t="e">
        <f>Можно выбрать из списка ИЛИ написать своё</f>
        <v>#NAME?</v>
      </c>
      <c r="C44" s="56"/>
      <c r="D44" s="56"/>
      <c r="E44" s="56"/>
    </row>
    <row r="45" spans="1:24" ht="15.75" customHeight="1" x14ac:dyDescent="0.25"/>
    <row r="46" spans="1:24" ht="15.75" customHeight="1" x14ac:dyDescent="0.25"/>
    <row r="47" spans="1:24" ht="15.75" customHeight="1" x14ac:dyDescent="0.25"/>
    <row r="48" spans="1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mergeCells count="8">
    <mergeCell ref="B43:E43"/>
    <mergeCell ref="B44:E44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Справочники!$E$2:$E$6</xm:f>
          </x14:formula1>
          <xm:sqref>E38:E40 E11:E30 E32:E36</xm:sqref>
        </x14:dataValidation>
        <x14:dataValidation type="list" allowBlank="1" xr:uid="{00000000-0002-0000-0100-000001000000}">
          <x14:formula1>
            <xm:f>Справочники!$G$2:$G$6</xm:f>
          </x14:formula1>
          <xm:sqref>G38:G40 G11:G30 G32:G36</xm:sqref>
        </x14:dataValidation>
        <x14:dataValidation type="list" allowBlank="1" xr:uid="{00000000-0002-0000-0100-000002000000}">
          <x14:formula1>
            <xm:f>Справочники!$F$2:$F$4</xm:f>
          </x14:formula1>
          <xm:sqref>V38:V40 V32:V36 V11:V30</xm:sqref>
        </x14:dataValidation>
        <x14:dataValidation type="list" allowBlank="1" xr:uid="{00000000-0002-0000-0100-000003000000}">
          <x14:formula1>
            <xm:f>Справочники!$I$2:$I$7</xm:f>
          </x14:formula1>
          <xm:sqref>I38:I40 I11:I30 I32:I36</xm:sqref>
        </x14:dataValidation>
        <x14:dataValidation type="list" allowBlank="1" xr:uid="{00000000-0002-0000-0100-000005000000}">
          <x14:formula1>
            <xm:f>Справочники!$D$2:$D$5</xm:f>
          </x14:formula1>
          <xm:sqref>D38:D40 D11:D30 D32:D36</xm:sqref>
        </x14:dataValidation>
        <x14:dataValidation type="list" allowBlank="1" xr:uid="{00000000-0002-0000-0100-000006000000}">
          <x14:formula1>
            <xm:f>Справочники!$C$2:$C$3</xm:f>
          </x14:formula1>
          <xm:sqref>C38:C40 C11:C30 C32:C36</xm:sqref>
        </x14:dataValidation>
        <x14:dataValidation type="list" allowBlank="1" xr:uid="{00000000-0002-0000-0100-000007000000}">
          <x14:formula1>
            <xm:f>Справочники!$B$2:$B$44</xm:f>
          </x14:formula1>
          <xm:sqref>C5 P38:P40 N38:N40 L38:L40 J38:J40 L32:L36 N32:N36 P32:P36 R32:R36 R38:R40 R11:R30 P11:P30 N11:N30 L11:L30 J11:J30 J32:J36</xm:sqref>
        </x14:dataValidation>
        <x14:dataValidation type="list" allowBlank="1" xr:uid="{00000000-0002-0000-0100-000008000000}">
          <x14:formula1>
            <xm:f>Справочники!$H$2:$H$7</xm:f>
          </x14:formula1>
          <xm:sqref>H38:H40 H11:H30 H32:H36</xm:sqref>
        </x14:dataValidation>
        <x14:dataValidation type="list" allowBlank="1" xr:uid="{00000000-0002-0000-0100-000009000000}">
          <x14:formula1>
            <xm:f>Справочники!$J$2:$J$8</xm:f>
          </x14:formula1>
          <xm:sqref>W38:W40 W11:W30 W32:W36</xm:sqref>
        </x14:dataValidation>
        <x14:dataValidation type="list" allowBlank="1" xr:uid="{00000000-0002-0000-0100-00000A000000}">
          <x14:formula1>
            <xm:f>Справочники!$K$2:$K$7</xm:f>
          </x14:formula1>
          <xm:sqref>X38:X40 X11:X30 X32:X36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AE82CD1D-AFB3-4082-AB87-1E9691505D73}">
          <x14:formula1>
            <xm:f>'C:\Users\lineo\OneDrive\Desktop\Новая папка (3)\[oprosnik_somova.xlsx..xlsx]Справочники'!#REF!</xm:f>
          </x14:formula1>
          <xm:sqref>C37:E37 C31:E31 R37 P37 N37 L37 R31 P31 N31 L31 G37:J37 G31:J31 V37:X37 V31:X31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2026-01-26T07:37:55Z</dcterms:modified>
</cp:coreProperties>
</file>