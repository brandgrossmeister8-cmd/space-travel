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lineo\OneDrive\Desktop\Новая папка (3)\"/>
    </mc:Choice>
  </mc:AlternateContent>
  <xr:revisionPtr revIDLastSave="0" documentId="13_ncr:1_{4BCF0540-3CC9-40FB-8DFB-0D7457B5CFA3}" xr6:coauthVersionLast="47" xr6:coauthVersionMax="47" xr10:uidLastSave="{00000000-0000-0000-0000-000000000000}"/>
  <bookViews>
    <workbookView xWindow="28680" yWindow="-120" windowWidth="29040" windowHeight="15720" activeTab="1" xr2:uid="{00000000-000D-0000-FFFF-FFFF00000000}"/>
  </bookViews>
  <sheets>
    <sheet name="Справочники" sheetId="1" r:id="rId1"/>
    <sheet name="ШАБЛОН"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wL3GsrNzf3Ml5vfv6VC+AHKHkiSu3m0ubyksZ1X6ZxM="/>
    </ext>
  </extLst>
</workbook>
</file>

<file path=xl/calcChain.xml><?xml version="1.0" encoding="utf-8"?>
<calcChain xmlns="http://schemas.openxmlformats.org/spreadsheetml/2006/main">
  <c r="B29" i="2" l="1"/>
  <c r="B28" i="2"/>
</calcChain>
</file>

<file path=xl/sharedStrings.xml><?xml version="1.0" encoding="utf-8"?>
<sst xmlns="http://schemas.openxmlformats.org/spreadsheetml/2006/main" count="268" uniqueCount="201">
  <si>
    <t>ДЕПАРТАМЕНТЫ</t>
  </si>
  <si>
    <t>ОТДЕЛЫ</t>
  </si>
  <si>
    <t>Тип задачи</t>
  </si>
  <si>
    <t>Уровень рутинности</t>
  </si>
  <si>
    <t>Регулярность</t>
  </si>
  <si>
    <t>Приоритет автоматизации</t>
  </si>
  <si>
    <t>Характер задачи (подсказка)</t>
  </si>
  <si>
    <t>Проблема (подсказка)</t>
  </si>
  <si>
    <t>Причина проблемы (подсказка)</t>
  </si>
  <si>
    <t>Ожидаемые результаты (подсказка)</t>
  </si>
  <si>
    <t>Риски (подсказка)</t>
  </si>
  <si>
    <t>Рутинная задача</t>
  </si>
  <si>
    <t>Очень высокий</t>
  </si>
  <si>
    <t>Ежедневно</t>
  </si>
  <si>
    <t>1</t>
  </si>
  <si>
    <t>Ручной ввод данных</t>
  </si>
  <si>
    <t>Не успеваете</t>
  </si>
  <si>
    <t>Нехватка времени</t>
  </si>
  <si>
    <t>Сокращение времени выполнения</t>
  </si>
  <si>
    <t>Снижение качества</t>
  </si>
  <si>
    <t>Проблемная задача</t>
  </si>
  <si>
    <t>Высокий</t>
  </si>
  <si>
    <t>Еженедельно</t>
  </si>
  <si>
    <t>2</t>
  </si>
  <si>
    <t>Обработка текстов</t>
  </si>
  <si>
    <t>Пропускаете</t>
  </si>
  <si>
    <t>Отсутствие информации</t>
  </si>
  <si>
    <t>Снижение количества ошибок</t>
  </si>
  <si>
    <t>Утечка данных</t>
  </si>
  <si>
    <t>Средний</t>
  </si>
  <si>
    <t>Ежемесячно</t>
  </si>
  <si>
    <t>3</t>
  </si>
  <si>
    <t>Обработка изображений</t>
  </si>
  <si>
    <t>Забываете</t>
  </si>
  <si>
    <t>Сложность задачи</t>
  </si>
  <si>
    <t>Освобождение времени для важных задач</t>
  </si>
  <si>
    <t>Сложность настройки</t>
  </si>
  <si>
    <t>Группа визового сопровождения</t>
  </si>
  <si>
    <t>Низкий</t>
  </si>
  <si>
    <t>Ежеквартально</t>
  </si>
  <si>
    <t>Обработка голосовой информации</t>
  </si>
  <si>
    <t>Не дают информацию вовремя</t>
  </si>
  <si>
    <t>Зависимость от других отделов</t>
  </si>
  <si>
    <t>Повышение качества обслуживания клиентов</t>
  </si>
  <si>
    <t>Потеря контроля</t>
  </si>
  <si>
    <t>Отдел бизнес-тревел</t>
  </si>
  <si>
    <t>По запросу</t>
  </si>
  <si>
    <t>Другое</t>
  </si>
  <si>
    <t>Трудно получить информацию</t>
  </si>
  <si>
    <t>Технические проблемы</t>
  </si>
  <si>
    <t>Упрощение коммуникаций</t>
  </si>
  <si>
    <t>Нет рисков</t>
  </si>
  <si>
    <t>Отдел бронирования</t>
  </si>
  <si>
    <t>Снижение стресса</t>
  </si>
  <si>
    <t>Отдел группового бронирования</t>
  </si>
  <si>
    <t>Отдел клиентской поддержки</t>
  </si>
  <si>
    <t>Департамент информационных технологий</t>
  </si>
  <si>
    <t>Отдел контент-маркетинга</t>
  </si>
  <si>
    <t>Отдел маркетинга</t>
  </si>
  <si>
    <t>Администрация</t>
  </si>
  <si>
    <t>Отдел по работе с ключевыми клиентами</t>
  </si>
  <si>
    <t>Отдел рекламы</t>
  </si>
  <si>
    <t>Отдел MICE</t>
  </si>
  <si>
    <t>Офис г. Екатеринбург</t>
  </si>
  <si>
    <t>Офис г. Казань</t>
  </si>
  <si>
    <t>Офис г. Краснодар</t>
  </si>
  <si>
    <t>Офис г. Новосибирск</t>
  </si>
  <si>
    <t>Офис г. Пятигорск</t>
  </si>
  <si>
    <t>Офис г. Самара</t>
  </si>
  <si>
    <t>Офис г. Санкт-Петербург</t>
  </si>
  <si>
    <t>Офис г. Хабаровск</t>
  </si>
  <si>
    <t>Транспортный отдел</t>
  </si>
  <si>
    <t>Чартерная группа</t>
  </si>
  <si>
    <t>Travelluxe (Казахстан)</t>
  </si>
  <si>
    <t>ОПРОСНИК: Анализ задач для автоматизации</t>
  </si>
  <si>
    <t>ФИО:</t>
  </si>
  <si>
    <t>Департамент (список):</t>
  </si>
  <si>
    <t>Отдел (список):</t>
  </si>
  <si>
    <t>Должность (свой текст):</t>
  </si>
  <si>
    <t>ВАШИ ЗАДАЧИ (минимум 5). Голубые = только список, Желтые = свой текст или список</t>
  </si>
  <si>
    <t>№</t>
  </si>
  <si>
    <t>Название
задачи</t>
  </si>
  <si>
    <t>Тип задачи
ТОЛЬКО список</t>
  </si>
  <si>
    <t>Уровень
рутинности
ТОЛЬКО список</t>
  </si>
  <si>
    <t>Регулярность
ТОЛЬКО список</t>
  </si>
  <si>
    <t>Характер
задачи
список+своё</t>
  </si>
  <si>
    <t>Проблема
список+своё</t>
  </si>
  <si>
    <t>Причина
проблемы
список+своё</t>
  </si>
  <si>
    <t>Взаимо-
действие 1
(отдел)</t>
  </si>
  <si>
    <t>Описание
взаимодействия 1</t>
  </si>
  <si>
    <t>Взаимо-
действие 2
(отдел)</t>
  </si>
  <si>
    <t>Описание
взаимодействия 2</t>
  </si>
  <si>
    <t>Взаимо-
действие 3
(отдел)</t>
  </si>
  <si>
    <t>Описание
взаимодействия 3</t>
  </si>
  <si>
    <t>Взаимо-
действие 4
(отдел)</t>
  </si>
  <si>
    <t>Описание
взаимодействия 4</t>
  </si>
  <si>
    <t>Взаимо-
действие 5
(отдел)</t>
  </si>
  <si>
    <t>Описание
взаимодействия 5</t>
  </si>
  <si>
    <t>Внутренние
ресурсы</t>
  </si>
  <si>
    <t>Внешние
ресурсы</t>
  </si>
  <si>
    <t>Приоритет
ТОЛЬКО список</t>
  </si>
  <si>
    <t>Ожидаемые
результаты
список+своё</t>
  </si>
  <si>
    <t>Риски
список+своё</t>
  </si>
  <si>
    <t>ЛЕГЕНДА:</t>
  </si>
  <si>
    <t>🔵 Голубые ячейки</t>
  </si>
  <si>
    <t>🟨 Желтые ячейки</t>
  </si>
  <si>
    <t>Время
(только число!
 только в мин!)</t>
  </si>
  <si>
    <t>глагол + что делаю</t>
  </si>
  <si>
    <t>ТОЛЬКО список</t>
  </si>
  <si>
    <t>Описание логики взаимодействия</t>
  </si>
  <si>
    <r>
      <rPr>
        <b/>
        <sz val="11"/>
        <color rgb="FFFF0000"/>
        <rFont val="Calibri"/>
        <family val="2"/>
        <charset val="204"/>
        <scheme val="minor"/>
      </rPr>
      <t>Только число и только в минутах</t>
    </r>
    <r>
      <rPr>
        <b/>
        <sz val="11"/>
        <color rgb="FF000000"/>
        <rFont val="Calibri"/>
        <family val="2"/>
        <charset val="204"/>
        <scheme val="minor"/>
      </rPr>
      <t xml:space="preserve"> (например: 15, 60, 120 и т.д.)</t>
    </r>
  </si>
  <si>
    <t xml:space="preserve">1-Низкий 
2-Средний 
3-Высокий 
</t>
  </si>
  <si>
    <t>Примеч.</t>
  </si>
  <si>
    <t>Департамент развития взаимоотношений с агентствами</t>
  </si>
  <si>
    <t>Бухгалтерия</t>
  </si>
  <si>
    <t>Департамент по управлению операционными доходами</t>
  </si>
  <si>
    <t>ВИП отдел</t>
  </si>
  <si>
    <t>Департамент въездного туризма, MICE и корпоративного обслуживания</t>
  </si>
  <si>
    <t>Отдел продаж</t>
  </si>
  <si>
    <t xml:space="preserve">Операционный департамент </t>
  </si>
  <si>
    <r>
      <t>Департамент маркетинга и</t>
    </r>
    <r>
      <rPr>
        <sz val="11"/>
        <color rgb="FF000000"/>
        <rFont val="Calibri"/>
        <family val="2"/>
        <charset val="204"/>
      </rPr>
      <t xml:space="preserve"> рекламы</t>
    </r>
  </si>
  <si>
    <t>Отдел круглосуточной работы с клиентами</t>
  </si>
  <si>
    <t>ASM</t>
  </si>
  <si>
    <t>Группа стран «Ближний Восток»</t>
  </si>
  <si>
    <t>Группа стран «Экзотика»</t>
  </si>
  <si>
    <t>Группа стран FIT</t>
  </si>
  <si>
    <t>Группа тарификации</t>
  </si>
  <si>
    <t>Отдел въездного туризма</t>
  </si>
  <si>
    <t>Банковская группа</t>
  </si>
  <si>
    <t>Группа по расчетам с иностранными поставщиками</t>
  </si>
  <si>
    <t>Группа стран «ЮВА»</t>
  </si>
  <si>
    <t>Генеральный директор</t>
  </si>
  <si>
    <t>Первый ЗГД</t>
  </si>
  <si>
    <t>Управление клиентского сервиса</t>
  </si>
  <si>
    <t>Управление по развитию региональных офисов</t>
  </si>
  <si>
    <t>нет отделов</t>
  </si>
  <si>
    <t>Ведущий менеджер отдела продаж</t>
  </si>
  <si>
    <t>Обработка голосовой информации; быстрое и качественное выявление потребности клиента для предложения достойного варианта</t>
  </si>
  <si>
    <t>Если проблема с телефонией или сайтом в процессе разговора с агентом</t>
  </si>
  <si>
    <t>Сайты отелей, поисковики (booking как пример)</t>
  </si>
  <si>
    <t>Повышение качества обслуживания клиентов ; высокая конверсия получить из телефонного звонка заявку на бронирование</t>
  </si>
  <si>
    <t>Снижение качества ; из-за многозадачности пропуск важных звонков</t>
  </si>
  <si>
    <t xml:space="preserve">Консультирую агентов по телефону по нюансам по направлениям, отелям, перелетам </t>
  </si>
  <si>
    <t>Переводят звонки для консультации, вопросов по действующим заявкам</t>
  </si>
  <si>
    <t>Передает звонки для консультации новых, постоянных и ТОП агентов которым необходимо повышенное внимание</t>
  </si>
  <si>
    <t>В целом региональные офисы (не все) которые просят помощи из-за тех или иных факторов в консультации региональных агентств</t>
  </si>
  <si>
    <t>Нехватка времени из-за многозадачности, иногда из-за неполной картины запроса</t>
  </si>
  <si>
    <t>Пересылают запросы на почту + создают и вешают сделки в Битрикс24</t>
  </si>
  <si>
    <t>Пересылают запросы на почту, просят помочь и посчитать в режиме реального времени</t>
  </si>
  <si>
    <t>Если не хватает информации для более развернутого ответа по запросу, а так редко</t>
  </si>
  <si>
    <t>В целом региональные офисы (не все) которые просят помощи из-за тех или иных факторов в консультации региональных агентств + есть постоянные агенты регионов которые давно работают со мной как с менеджером</t>
  </si>
  <si>
    <t>посчитано неправильно или не пересчитывается отель - письмо на почту с вопросов разобраться с проблемой</t>
  </si>
  <si>
    <t>Сайт, телефон, контракты отелей, внутренние системы бронирования</t>
  </si>
  <si>
    <t>Повышение качества обслуживания клиентов ; высокая конверсия получить из запроса на почту заявку на бронирование</t>
  </si>
  <si>
    <t>Снижение качества ; из-за многозадачности несвоевременный ответ на запрос</t>
  </si>
  <si>
    <t xml:space="preserve">Обрабатываю заявки из онлайна </t>
  </si>
  <si>
    <t>Если не хватает информации для более развернутого ответа по заявке или есть проблема по заявке (цена не сошлась, рейс задержали, нужно найти короткий путь к резервации отеля). В целом редко</t>
  </si>
  <si>
    <t>посчитано неправильно или не пересчитывается отель - письмо на почту с вопросов разобраться с проблемой; елси очень сложный расчет по отелю нужен (в целом редко)</t>
  </si>
  <si>
    <t>обращение если посчитана неправильно заявка (инвойс не сошелся после моего личного анализа и расчета вручную)</t>
  </si>
  <si>
    <t>Работа по заявкам от менеджеров и руководителей, которые просят агентва адресовать заявку мне. Иногда отказываю из-за не хватки времени в обработке</t>
  </si>
  <si>
    <t>Самотур, онлайн сервисы для бронирования поставщиков</t>
  </si>
  <si>
    <t>Сайты отелей, конкурентов, поисковики (booking как пример)</t>
  </si>
  <si>
    <t>Повышение качества обслуживания клиентов ; высокая коныерсия по подтверждению заявок и повышение маржинальности</t>
  </si>
  <si>
    <t>Потеря контроля ; большое количество заявок ведет к расфокусировке внимания и есть риск упущения важной информации</t>
  </si>
  <si>
    <t>Считаю ФИТ запросы по направлению Экзотика</t>
  </si>
  <si>
    <t>Отвечаю на вопросы действующих заявок</t>
  </si>
  <si>
    <t>Оценка и отправка заявки на бронирование, проверка подтверждения или отказа (проверка альтернатив), проставление сроков оплат, отслеживание поступления ДС, выписка билетов, проверка за неделю до вылета всех параметров по брони на соответствие, аннуляция заявки по необходимости</t>
  </si>
  <si>
    <t>Обработка вопросов и запросов в действующих заявкам (могут быть абсолютно любыми)</t>
  </si>
  <si>
    <t>Нехватка времени из многозадачности</t>
  </si>
  <si>
    <t>консультация со своими коллегами по вопросам  бронирования тех направлений, которые бронирую редко или нужно обсуждение по своим направлениям некоторых нюансов</t>
  </si>
  <si>
    <t>обращение если нужно в заявке дать овтет по апгрейду или добавлению человека, а заявка старая и СПО уже прошло. ЫВ целом сама могу, обращаюсь редко</t>
  </si>
  <si>
    <t>Если не хватает информации для более развернутого ответа по заявке. В целом редко</t>
  </si>
  <si>
    <t>Если нужно обсудить с  коллегам тот или иной ответ по заявке, есть сомнения в ответе</t>
  </si>
  <si>
    <t>Если нужно добиться ответа от агнета в кратчайшие сроки, а агент пропал. Если заявка требует повышенного внимания и контроля</t>
  </si>
  <si>
    <t>Самотур</t>
  </si>
  <si>
    <t>Сокращение времени выполнения, быстрая обработка информации и выдача агенту результата по его вопросу</t>
  </si>
  <si>
    <t>Снижение качества, из-за многозадачности несвоевременный ответ на вопрос, может привести к негативу</t>
  </si>
  <si>
    <t>Оценка и обработка поступившей проблемы, жалобы с последующим ее решением в очень кратчайшие сроки</t>
  </si>
  <si>
    <t>Сайт, контракты отелей, внутренние системы бронирования, электронный почтовый сервис</t>
  </si>
  <si>
    <t xml:space="preserve">Не успеваете </t>
  </si>
  <si>
    <t>Не успеваете, пропускаю</t>
  </si>
  <si>
    <t>Зависимость от других отделов + сложность задачи</t>
  </si>
  <si>
    <t>Просьба о помощи в решении если отели или принимающие стороны отвечают медленно, обсуждение решения, выход на более высокий уровень менеджемента отеля</t>
  </si>
  <si>
    <t>Если разворачивается конфликт, прошу помочь с агентом, успокоить, поговорить если меня он не слушает уже + помощь в в принятии решения по ситуации, быстрий ответ агента по решению</t>
  </si>
  <si>
    <t>Подлючение руководства для обсуждения того или иного решения по проблеме, согласования его и выдачи агенту</t>
  </si>
  <si>
    <t>Если проблема с перелетом - нахождения совместного решения по пересадке, аннулированию или обмену авиабилетов</t>
  </si>
  <si>
    <t>Самотур, почтовый сервис, телефон</t>
  </si>
  <si>
    <t>Месенджеры</t>
  </si>
  <si>
    <t>Обработка запросов, подбор отелей и перелетов, консультация по направлениям, расчет нестандартных туров по почте, запросы в Битрикс, запросы  в месенджерах (вотсап, макс, телеграм)</t>
  </si>
  <si>
    <t>Сайты отелей, конкурентов, поисковики (booking как пример), месенджеры</t>
  </si>
  <si>
    <t>Снижение стресса, решения сложных задач в пользу нас и агента, разрение конфликтных ситуаций</t>
  </si>
  <si>
    <t>Потеря контроля, нехватка времени на решение, иногда слишком долгое согласования которое ведет к большему конфликту агента и нас</t>
  </si>
  <si>
    <t>Сложность задачи ; необходимость уложиться в кратчайщие сроки</t>
  </si>
  <si>
    <t>Не успеваете, иногда нужно решить в считанные минуты</t>
  </si>
  <si>
    <t>Решаю проблемные ситуации по действующим заявкам</t>
  </si>
  <si>
    <t>Бушкарева</t>
  </si>
  <si>
    <t>Департамент HR</t>
  </si>
  <si>
    <t>Департамент финансов</t>
  </si>
  <si>
    <t>Группа по привлечению агенств</t>
  </si>
  <si>
    <t>Бухгалтерия группы компаний</t>
  </si>
  <si>
    <t>Финансовый отдел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</si>
</sst>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charset val="204"/>
      <scheme val="minor"/>
    </font>
    <font>
      <sz val="11"/>
      <color theme="1"/>
      <name val="Calibri"/>
      <family val="2"/>
      <charset val="204"/>
      <scheme val="minor"/>
    </font>
    <font>
      <b/>
      <sz val="11"/>
      <color rgb="FFFFFFFF"/>
      <name val="Calibri"/>
      <family val="2"/>
      <charset val="204"/>
      <scheme val="minor"/>
    </font>
    <font>
      <sz val="11"/>
      <color theme="1"/>
      <name val="Calibri"/>
      <family val="2"/>
      <charset val="204"/>
    </font>
    <font>
      <b/>
      <sz val="14"/>
      <color rgb="FFFFFFFF"/>
      <name val="Calibri"/>
      <family val="2"/>
      <charset val="204"/>
      <scheme val="minor"/>
    </font>
    <font>
      <sz val="11"/>
      <name val="Calibri"/>
      <family val="2"/>
      <charset val="204"/>
    </font>
    <font>
      <sz val="11"/>
      <color theme="1"/>
      <name val="Calibri"/>
      <family val="2"/>
      <charset val="204"/>
      <scheme val="minor"/>
    </font>
    <font>
      <b/>
      <sz val="12"/>
      <color theme="1"/>
      <name val="Calibri"/>
      <family val="2"/>
      <charset val="204"/>
      <scheme val="minor"/>
    </font>
    <font>
      <b/>
      <sz val="14"/>
      <color rgb="FF000000"/>
      <name val="Calibri"/>
      <family val="2"/>
      <charset val="204"/>
      <scheme val="minor"/>
    </font>
    <font>
      <sz val="14"/>
      <color rgb="FF000000"/>
      <name val="Calibri"/>
      <family val="2"/>
      <charset val="204"/>
      <scheme val="minor"/>
    </font>
    <font>
      <b/>
      <sz val="11"/>
      <color theme="1"/>
      <name val="Calibri"/>
      <family val="2"/>
      <charset val="204"/>
      <scheme val="minor"/>
    </font>
    <font>
      <b/>
      <sz val="11"/>
      <color theme="1"/>
      <name val="Calibri"/>
      <family val="2"/>
      <charset val="204"/>
      <scheme val="minor"/>
    </font>
    <font>
      <sz val="11"/>
      <color theme="1"/>
      <name val="Calibri"/>
      <family val="2"/>
      <charset val="204"/>
    </font>
    <font>
      <b/>
      <sz val="11"/>
      <color rgb="FF000000"/>
      <name val="Calibri"/>
      <family val="2"/>
      <charset val="204"/>
      <scheme val="minor"/>
    </font>
    <font>
      <b/>
      <sz val="11"/>
      <color rgb="FFFF0000"/>
      <name val="Calibri"/>
      <family val="2"/>
      <charset val="204"/>
      <scheme val="minor"/>
    </font>
    <font>
      <sz val="11"/>
      <color rgb="FF000000"/>
      <name val="Calibri"/>
      <family val="2"/>
      <charset val="204"/>
      <scheme val="minor"/>
    </font>
    <font>
      <sz val="10"/>
      <color theme="1"/>
      <name val="Times New Roman"/>
      <family val="1"/>
      <charset val="204"/>
    </font>
    <font>
      <sz val="11"/>
      <color rgb="FF000000"/>
      <name val="Calibri"/>
      <family val="2"/>
      <charset val="204"/>
    </font>
    <font>
      <sz val="11"/>
      <color rgb="FF18181B"/>
      <name val="Calibri"/>
      <family val="2"/>
      <charset val="204"/>
      <scheme val="minor"/>
    </font>
  </fonts>
  <fills count="8">
    <fill>
      <patternFill patternType="none"/>
    </fill>
    <fill>
      <patternFill patternType="gray125"/>
    </fill>
    <fill>
      <patternFill patternType="solid">
        <fgColor rgb="FF4472C4"/>
        <bgColor rgb="FF4472C4"/>
      </patternFill>
    </fill>
    <fill>
      <patternFill patternType="solid">
        <fgColor rgb="FFFFF2CC"/>
        <bgColor rgb="FFFFF2CC"/>
      </patternFill>
    </fill>
    <fill>
      <patternFill patternType="solid">
        <fgColor rgb="FFDDEBF7"/>
        <bgColor rgb="FFDDEBF7"/>
      </patternFill>
    </fill>
    <fill>
      <patternFill patternType="solid">
        <fgColor rgb="FF5B9BD5"/>
        <bgColor rgb="FF5B9BD5"/>
      </patternFill>
    </fill>
    <fill>
      <patternFill patternType="solid">
        <fgColor theme="0"/>
        <bgColor rgb="FF5B9BD5"/>
      </patternFill>
    </fill>
    <fill>
      <patternFill patternType="solid">
        <fgColor theme="0"/>
        <bgColor indexed="64"/>
      </patternFill>
    </fill>
  </fills>
  <borders count="11">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37">
    <xf numFmtId="0" fontId="0" fillId="0" borderId="0" xfId="0"/>
    <xf numFmtId="0" fontId="3" fillId="2" borderId="1" xfId="0" applyFont="1" applyFill="1" applyBorder="1"/>
    <xf numFmtId="0" fontId="4" fillId="0" borderId="0" xfId="0" applyFont="1" applyAlignment="1">
      <alignment vertical="top" wrapText="1"/>
    </xf>
    <xf numFmtId="0" fontId="7" fillId="0" borderId="0" xfId="0" applyFont="1"/>
    <xf numFmtId="0" fontId="9" fillId="5" borderId="5" xfId="0" applyFont="1" applyFill="1" applyBorder="1" applyAlignment="1">
      <alignment horizontal="center" vertical="center" wrapText="1"/>
    </xf>
    <xf numFmtId="0" fontId="10" fillId="0" borderId="0" xfId="0" applyFont="1"/>
    <xf numFmtId="0" fontId="4" fillId="0" borderId="5" xfId="0" applyFont="1" applyBorder="1" applyAlignment="1">
      <alignment vertical="top" wrapText="1"/>
    </xf>
    <xf numFmtId="0" fontId="4" fillId="3" borderId="5" xfId="0" applyFont="1" applyFill="1" applyBorder="1" applyAlignment="1">
      <alignment vertical="top" wrapText="1"/>
    </xf>
    <xf numFmtId="0" fontId="4" fillId="4" borderId="5" xfId="0" applyFont="1" applyFill="1" applyBorder="1" applyAlignment="1">
      <alignment vertical="top" wrapText="1"/>
    </xf>
    <xf numFmtId="0" fontId="11" fillId="0" borderId="0" xfId="0" applyFont="1"/>
    <xf numFmtId="0" fontId="4" fillId="4" borderId="1" xfId="0" applyFont="1" applyFill="1" applyBorder="1"/>
    <xf numFmtId="0" fontId="4" fillId="3" borderId="1" xfId="0" applyFont="1" applyFill="1" applyBorder="1"/>
    <xf numFmtId="0" fontId="9" fillId="5" borderId="9" xfId="0" applyFont="1" applyFill="1" applyBorder="1" applyAlignment="1">
      <alignment horizontal="center" vertical="center" wrapText="1"/>
    </xf>
    <xf numFmtId="0" fontId="4" fillId="3" borderId="10" xfId="0" applyFont="1" applyFill="1" applyBorder="1" applyAlignment="1">
      <alignment vertical="top" wrapText="1"/>
    </xf>
    <xf numFmtId="0" fontId="13" fillId="4" borderId="10" xfId="0" applyFont="1" applyFill="1" applyBorder="1" applyAlignment="1">
      <alignment vertical="top" wrapText="1"/>
    </xf>
    <xf numFmtId="0" fontId="4" fillId="4" borderId="10" xfId="0" applyFont="1" applyFill="1" applyBorder="1" applyAlignment="1">
      <alignment vertical="top" wrapText="1"/>
    </xf>
    <xf numFmtId="0" fontId="14" fillId="6" borderId="6" xfId="0" applyFont="1" applyFill="1" applyBorder="1" applyAlignment="1">
      <alignment horizontal="center" vertical="top" wrapText="1"/>
    </xf>
    <xf numFmtId="0" fontId="12" fillId="0" borderId="6" xfId="0" applyFont="1" applyBorder="1" applyAlignment="1">
      <alignment horizontal="center" vertical="top"/>
    </xf>
    <xf numFmtId="0" fontId="14" fillId="6" borderId="7" xfId="0" applyFont="1" applyFill="1" applyBorder="1" applyAlignment="1">
      <alignment horizontal="center" vertical="top" wrapText="1"/>
    </xf>
    <xf numFmtId="0" fontId="14" fillId="6" borderId="8" xfId="0" applyFont="1" applyFill="1" applyBorder="1" applyAlignment="1">
      <alignment horizontal="center" vertical="top" wrapText="1"/>
    </xf>
    <xf numFmtId="0" fontId="14" fillId="6" borderId="5" xfId="0" applyFont="1" applyFill="1" applyBorder="1" applyAlignment="1">
      <alignment horizontal="center" vertical="top" wrapText="1"/>
    </xf>
    <xf numFmtId="0" fontId="12" fillId="0" borderId="0" xfId="0" applyFont="1" applyAlignment="1">
      <alignment horizontal="center" vertical="top" wrapText="1"/>
    </xf>
    <xf numFmtId="0" fontId="16" fillId="7" borderId="0" xfId="0" applyFont="1" applyFill="1" applyAlignment="1">
      <alignment horizontal="center" vertical="top"/>
    </xf>
    <xf numFmtId="0" fontId="2" fillId="7" borderId="0" xfId="0" applyFont="1" applyFill="1" applyAlignment="1">
      <alignment horizontal="center" vertical="top"/>
    </xf>
    <xf numFmtId="0" fontId="18" fillId="0" borderId="0" xfId="0" applyFont="1" applyAlignment="1">
      <alignment vertical="top" wrapText="1"/>
    </xf>
    <xf numFmtId="0" fontId="18" fillId="0" borderId="0" xfId="0" applyFont="1" applyAlignment="1">
      <alignment vertical="top"/>
    </xf>
    <xf numFmtId="0" fontId="17" fillId="0" borderId="0" xfId="0" applyFont="1" applyAlignment="1">
      <alignment vertical="top"/>
    </xf>
    <xf numFmtId="0" fontId="19" fillId="0" borderId="0" xfId="0" applyFont="1"/>
    <xf numFmtId="0" fontId="1" fillId="0" borderId="0" xfId="0" applyFont="1"/>
    <xf numFmtId="0" fontId="7" fillId="0" borderId="0" xfId="0" applyFont="1"/>
    <xf numFmtId="0" fontId="0" fillId="0" borderId="0" xfId="0"/>
    <xf numFmtId="0" fontId="5" fillId="2" borderId="2" xfId="0" applyFont="1" applyFill="1" applyBorder="1" applyAlignment="1">
      <alignment horizontal="center" vertical="center"/>
    </xf>
    <xf numFmtId="0" fontId="6" fillId="0" borderId="3" xfId="0" applyFont="1" applyBorder="1"/>
    <xf numFmtId="0" fontId="6" fillId="0" borderId="4" xfId="0" applyFont="1" applyBorder="1"/>
    <xf numFmtId="0" fontId="4" fillId="3" borderId="2" xfId="0" applyFont="1" applyFill="1" applyBorder="1"/>
    <xf numFmtId="0" fontId="4" fillId="4" borderId="2" xfId="0" applyFont="1" applyFill="1" applyBorder="1"/>
    <xf numFmtId="0" fontId="8"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opLeftCell="A2" workbookViewId="0">
      <selection activeCell="A2" sqref="A2:B43"/>
    </sheetView>
  </sheetViews>
  <sheetFormatPr defaultColWidth="14.42578125" defaultRowHeight="15" customHeight="1" x14ac:dyDescent="0.25"/>
  <cols>
    <col min="1" max="11" width="50" customWidth="1"/>
    <col min="12" max="26" width="8.710937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30" x14ac:dyDescent="0.25">
      <c r="A2" s="24" t="s">
        <v>113</v>
      </c>
      <c r="B2" s="24" t="s">
        <v>114</v>
      </c>
      <c r="C2" s="2" t="s">
        <v>11</v>
      </c>
      <c r="D2" s="2" t="s">
        <v>12</v>
      </c>
      <c r="E2" s="2" t="s">
        <v>13</v>
      </c>
      <c r="F2" s="2" t="s">
        <v>14</v>
      </c>
      <c r="G2" s="2" t="s">
        <v>15</v>
      </c>
      <c r="H2" s="2" t="s">
        <v>16</v>
      </c>
      <c r="I2" s="2" t="s">
        <v>17</v>
      </c>
      <c r="J2" s="2" t="s">
        <v>18</v>
      </c>
      <c r="K2" s="2" t="s">
        <v>19</v>
      </c>
    </row>
    <row r="3" spans="1:11" ht="30" x14ac:dyDescent="0.25">
      <c r="A3" s="24" t="s">
        <v>115</v>
      </c>
      <c r="B3" s="24" t="s">
        <v>116</v>
      </c>
      <c r="C3" s="2" t="s">
        <v>20</v>
      </c>
      <c r="D3" s="2" t="s">
        <v>21</v>
      </c>
      <c r="E3" s="2" t="s">
        <v>22</v>
      </c>
      <c r="F3" s="2" t="s">
        <v>23</v>
      </c>
      <c r="G3" s="2" t="s">
        <v>24</v>
      </c>
      <c r="H3" s="2" t="s">
        <v>25</v>
      </c>
      <c r="I3" s="2" t="s">
        <v>26</v>
      </c>
      <c r="J3" s="2" t="s">
        <v>27</v>
      </c>
      <c r="K3" s="2" t="s">
        <v>28</v>
      </c>
    </row>
    <row r="4" spans="1:11" ht="30" x14ac:dyDescent="0.25">
      <c r="A4" s="24" t="s">
        <v>117</v>
      </c>
      <c r="B4" s="24" t="s">
        <v>118</v>
      </c>
      <c r="D4" s="2" t="s">
        <v>29</v>
      </c>
      <c r="E4" s="2" t="s">
        <v>30</v>
      </c>
      <c r="F4" s="2" t="s">
        <v>31</v>
      </c>
      <c r="G4" s="2" t="s">
        <v>32</v>
      </c>
      <c r="H4" s="2" t="s">
        <v>33</v>
      </c>
      <c r="I4" s="2" t="s">
        <v>34</v>
      </c>
      <c r="J4" s="2" t="s">
        <v>35</v>
      </c>
      <c r="K4" s="2" t="s">
        <v>36</v>
      </c>
    </row>
    <row r="5" spans="1:11" x14ac:dyDescent="0.25">
      <c r="A5" s="24" t="s">
        <v>196</v>
      </c>
      <c r="B5" s="24" t="s">
        <v>37</v>
      </c>
      <c r="D5" s="2" t="s">
        <v>38</v>
      </c>
      <c r="E5" s="2" t="s">
        <v>39</v>
      </c>
      <c r="G5" s="2" t="s">
        <v>40</v>
      </c>
      <c r="H5" s="2" t="s">
        <v>41</v>
      </c>
      <c r="I5" s="2" t="s">
        <v>42</v>
      </c>
      <c r="J5" s="2" t="s">
        <v>43</v>
      </c>
      <c r="K5" s="2" t="s">
        <v>44</v>
      </c>
    </row>
    <row r="6" spans="1:11" x14ac:dyDescent="0.25">
      <c r="A6" s="24" t="s">
        <v>119</v>
      </c>
      <c r="B6" s="24" t="s">
        <v>45</v>
      </c>
      <c r="E6" s="2" t="s">
        <v>46</v>
      </c>
      <c r="G6" s="2" t="s">
        <v>47</v>
      </c>
      <c r="H6" s="2" t="s">
        <v>48</v>
      </c>
      <c r="I6" s="2" t="s">
        <v>49</v>
      </c>
      <c r="J6" s="2" t="s">
        <v>50</v>
      </c>
      <c r="K6" s="2" t="s">
        <v>51</v>
      </c>
    </row>
    <row r="7" spans="1:11" x14ac:dyDescent="0.25">
      <c r="A7" s="2" t="s">
        <v>120</v>
      </c>
      <c r="B7" s="24" t="s">
        <v>52</v>
      </c>
      <c r="H7" s="2" t="s">
        <v>47</v>
      </c>
      <c r="I7" s="2" t="s">
        <v>47</v>
      </c>
      <c r="J7" s="2" t="s">
        <v>53</v>
      </c>
      <c r="K7" s="2" t="s">
        <v>47</v>
      </c>
    </row>
    <row r="8" spans="1:11" x14ac:dyDescent="0.25">
      <c r="A8" s="24" t="s">
        <v>56</v>
      </c>
      <c r="B8" s="24" t="s">
        <v>54</v>
      </c>
      <c r="J8" s="2" t="s">
        <v>47</v>
      </c>
    </row>
    <row r="9" spans="1:11" x14ac:dyDescent="0.25">
      <c r="A9" s="24" t="s">
        <v>197</v>
      </c>
      <c r="B9" s="24" t="s">
        <v>55</v>
      </c>
    </row>
    <row r="10" spans="1:11" x14ac:dyDescent="0.25">
      <c r="A10" s="24" t="s">
        <v>59</v>
      </c>
      <c r="B10" s="24" t="s">
        <v>121</v>
      </c>
    </row>
    <row r="11" spans="1:11" x14ac:dyDescent="0.25">
      <c r="A11" s="24" t="s">
        <v>73</v>
      </c>
      <c r="B11" s="24" t="s">
        <v>57</v>
      </c>
    </row>
    <row r="12" spans="1:11" x14ac:dyDescent="0.25">
      <c r="A12" s="24" t="s">
        <v>122</v>
      </c>
      <c r="B12" s="24" t="s">
        <v>58</v>
      </c>
    </row>
    <row r="13" spans="1:11" x14ac:dyDescent="0.25">
      <c r="B13" s="24" t="s">
        <v>60</v>
      </c>
    </row>
    <row r="14" spans="1:11" x14ac:dyDescent="0.25">
      <c r="A14" s="25"/>
      <c r="B14" s="24" t="s">
        <v>123</v>
      </c>
    </row>
    <row r="15" spans="1:11" x14ac:dyDescent="0.25">
      <c r="A15" s="25"/>
      <c r="B15" s="24" t="s">
        <v>124</v>
      </c>
    </row>
    <row r="16" spans="1:11" x14ac:dyDescent="0.25">
      <c r="A16" s="26"/>
      <c r="B16" s="24" t="s">
        <v>125</v>
      </c>
    </row>
    <row r="17" spans="1:2" x14ac:dyDescent="0.25">
      <c r="A17" s="26"/>
      <c r="B17" s="24" t="s">
        <v>126</v>
      </c>
    </row>
    <row r="18" spans="1:2" x14ac:dyDescent="0.25">
      <c r="A18" s="26"/>
      <c r="B18" s="24" t="s">
        <v>61</v>
      </c>
    </row>
    <row r="19" spans="1:2" x14ac:dyDescent="0.25">
      <c r="A19" s="26"/>
      <c r="B19" s="24" t="s">
        <v>62</v>
      </c>
    </row>
    <row r="20" spans="1:2" x14ac:dyDescent="0.25">
      <c r="A20" s="26"/>
      <c r="B20" s="24" t="s">
        <v>63</v>
      </c>
    </row>
    <row r="21" spans="1:2" ht="15.75" customHeight="1" x14ac:dyDescent="0.25">
      <c r="A21" s="26"/>
      <c r="B21" s="24" t="s">
        <v>64</v>
      </c>
    </row>
    <row r="22" spans="1:2" ht="15.75" customHeight="1" x14ac:dyDescent="0.25">
      <c r="A22" s="26"/>
      <c r="B22" s="24" t="s">
        <v>65</v>
      </c>
    </row>
    <row r="23" spans="1:2" ht="15.75" customHeight="1" x14ac:dyDescent="0.25">
      <c r="A23" s="26"/>
      <c r="B23" s="24" t="s">
        <v>66</v>
      </c>
    </row>
    <row r="24" spans="1:2" ht="15.75" customHeight="1" x14ac:dyDescent="0.25">
      <c r="A24" s="26"/>
      <c r="B24" s="24" t="s">
        <v>67</v>
      </c>
    </row>
    <row r="25" spans="1:2" ht="15.75" customHeight="1" x14ac:dyDescent="0.25">
      <c r="A25" s="26"/>
      <c r="B25" s="24" t="s">
        <v>68</v>
      </c>
    </row>
    <row r="26" spans="1:2" ht="15.75" customHeight="1" x14ac:dyDescent="0.25">
      <c r="A26" s="26"/>
      <c r="B26" s="24" t="s">
        <v>69</v>
      </c>
    </row>
    <row r="27" spans="1:2" ht="15.75" customHeight="1" x14ac:dyDescent="0.25">
      <c r="A27" s="26"/>
      <c r="B27" s="24" t="s">
        <v>70</v>
      </c>
    </row>
    <row r="28" spans="1:2" ht="15.75" customHeight="1" x14ac:dyDescent="0.25">
      <c r="A28" s="26"/>
      <c r="B28" s="24" t="s">
        <v>127</v>
      </c>
    </row>
    <row r="29" spans="1:2" ht="15.75" customHeight="1" x14ac:dyDescent="0.25">
      <c r="A29" s="26"/>
      <c r="B29" s="24" t="s">
        <v>71</v>
      </c>
    </row>
    <row r="30" spans="1:2" ht="15.75" customHeight="1" x14ac:dyDescent="0.25">
      <c r="A30" s="26"/>
      <c r="B30" s="24" t="s">
        <v>128</v>
      </c>
    </row>
    <row r="31" spans="1:2" ht="15.75" customHeight="1" x14ac:dyDescent="0.25">
      <c r="A31" s="26"/>
      <c r="B31" s="24" t="s">
        <v>129</v>
      </c>
    </row>
    <row r="32" spans="1:2" ht="15.75" customHeight="1" x14ac:dyDescent="0.25">
      <c r="A32" s="26"/>
      <c r="B32" s="24" t="s">
        <v>72</v>
      </c>
    </row>
    <row r="33" spans="1:2" ht="15.75" customHeight="1" x14ac:dyDescent="0.25">
      <c r="A33" s="26"/>
      <c r="B33" s="24" t="s">
        <v>198</v>
      </c>
    </row>
    <row r="34" spans="1:2" ht="15.75" customHeight="1" x14ac:dyDescent="0.25">
      <c r="A34" s="25"/>
      <c r="B34" s="24" t="s">
        <v>130</v>
      </c>
    </row>
    <row r="35" spans="1:2" ht="15.75" customHeight="1" x14ac:dyDescent="0.25">
      <c r="B35" s="24" t="s">
        <v>131</v>
      </c>
    </row>
    <row r="36" spans="1:2" ht="15.75" customHeight="1" x14ac:dyDescent="0.25">
      <c r="B36" s="24" t="s">
        <v>132</v>
      </c>
    </row>
    <row r="37" spans="1:2" ht="15.75" customHeight="1" x14ac:dyDescent="0.25">
      <c r="B37" s="28" t="s">
        <v>133</v>
      </c>
    </row>
    <row r="38" spans="1:2" ht="15.75" customHeight="1" x14ac:dyDescent="0.25">
      <c r="B38" s="27" t="s">
        <v>134</v>
      </c>
    </row>
    <row r="39" spans="1:2" ht="15.75" customHeight="1" x14ac:dyDescent="0.25">
      <c r="B39" s="24" t="s">
        <v>196</v>
      </c>
    </row>
    <row r="40" spans="1:2" ht="15.75" customHeight="1" x14ac:dyDescent="0.25">
      <c r="B40" s="24" t="s">
        <v>56</v>
      </c>
    </row>
    <row r="41" spans="1:2" ht="15.75" customHeight="1" x14ac:dyDescent="0.25">
      <c r="B41" s="28" t="s">
        <v>135</v>
      </c>
    </row>
    <row r="42" spans="1:2" ht="15.75" customHeight="1" x14ac:dyDescent="0.25">
      <c r="B42" t="s">
        <v>199</v>
      </c>
    </row>
    <row r="43" spans="1:2" ht="15.75" customHeight="1" x14ac:dyDescent="0.25">
      <c r="B43" t="s">
        <v>200</v>
      </c>
    </row>
    <row r="44" spans="1:2" ht="15.75" customHeight="1" x14ac:dyDescent="0.25"/>
    <row r="45" spans="1:2" ht="15.75" customHeight="1" x14ac:dyDescent="0.25"/>
    <row r="46" spans="1:2" ht="15.75" customHeight="1" x14ac:dyDescent="0.25"/>
    <row r="47" spans="1:2" ht="15.75" customHeight="1" x14ac:dyDescent="0.25"/>
    <row r="48" spans="1: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tabSelected="1" zoomScale="70" zoomScaleNormal="70" workbookViewId="0">
      <selection activeCell="J11" activeCellId="4" sqref="C5 R11:R25 P11:P25 N11:N25 J11:J25 L11:L25"/>
    </sheetView>
  </sheetViews>
  <sheetFormatPr defaultColWidth="14.42578125" defaultRowHeight="15" customHeight="1" x14ac:dyDescent="0.25"/>
  <cols>
    <col min="1" max="1" width="10.85546875" customWidth="1"/>
    <col min="2" max="2" width="35" customWidth="1"/>
    <col min="3" max="3" width="28.5703125" customWidth="1"/>
    <col min="4" max="4" width="25.28515625" customWidth="1"/>
    <col min="5" max="5" width="26.42578125" customWidth="1"/>
    <col min="6" max="6" width="26.5703125" customWidth="1"/>
    <col min="7" max="7" width="21.28515625" customWidth="1"/>
    <col min="8" max="9" width="15" customWidth="1"/>
    <col min="10" max="10" width="20" customWidth="1"/>
    <col min="11" max="11" width="25" customWidth="1"/>
    <col min="12" max="12" width="20" customWidth="1"/>
    <col min="13" max="13" width="25" customWidth="1"/>
    <col min="14" max="14" width="20" customWidth="1"/>
    <col min="15" max="15" width="25" customWidth="1"/>
    <col min="16" max="16" width="20" customWidth="1"/>
    <col min="17" max="17" width="25" customWidth="1"/>
    <col min="18" max="18" width="20" customWidth="1"/>
    <col min="19" max="19" width="25" customWidth="1"/>
    <col min="20" max="20" width="25.7109375" customWidth="1"/>
    <col min="21" max="21" width="18" customWidth="1"/>
    <col min="22" max="22" width="19.28515625" customWidth="1"/>
    <col min="23" max="24" width="20" customWidth="1"/>
    <col min="25" max="26" width="8.7109375" customWidth="1"/>
  </cols>
  <sheetData>
    <row r="1" spans="1:26" ht="30" customHeight="1" x14ac:dyDescent="0.25">
      <c r="A1" s="31" t="s">
        <v>74</v>
      </c>
      <c r="B1" s="32"/>
      <c r="C1" s="32"/>
      <c r="D1" s="32"/>
      <c r="E1" s="32"/>
      <c r="F1" s="32"/>
      <c r="G1" s="32"/>
      <c r="H1" s="32"/>
      <c r="I1" s="32"/>
      <c r="J1" s="32"/>
      <c r="K1" s="32"/>
      <c r="L1" s="32"/>
      <c r="M1" s="32"/>
      <c r="N1" s="32"/>
      <c r="O1" s="32"/>
      <c r="P1" s="32"/>
      <c r="Q1" s="32"/>
      <c r="R1" s="32"/>
      <c r="S1" s="32"/>
      <c r="T1" s="32"/>
      <c r="U1" s="32"/>
      <c r="V1" s="32"/>
      <c r="W1" s="32"/>
      <c r="X1" s="33"/>
    </row>
    <row r="3" spans="1:26" x14ac:dyDescent="0.25">
      <c r="B3" s="3" t="s">
        <v>75</v>
      </c>
      <c r="C3" s="34" t="s">
        <v>195</v>
      </c>
      <c r="D3" s="32"/>
      <c r="E3" s="32"/>
      <c r="F3" s="32"/>
      <c r="G3" s="32"/>
      <c r="H3" s="32"/>
      <c r="I3" s="32"/>
      <c r="J3" s="32"/>
      <c r="K3" s="32"/>
      <c r="L3" s="32"/>
      <c r="M3" s="32"/>
      <c r="N3" s="32"/>
      <c r="O3" s="32"/>
      <c r="P3" s="32"/>
      <c r="Q3" s="32"/>
      <c r="R3" s="32"/>
      <c r="S3" s="32"/>
      <c r="T3" s="32"/>
      <c r="U3" s="32"/>
      <c r="V3" s="32"/>
      <c r="W3" s="32"/>
      <c r="X3" s="33"/>
    </row>
    <row r="4" spans="1:26" x14ac:dyDescent="0.25">
      <c r="B4" s="3" t="s">
        <v>76</v>
      </c>
      <c r="C4" s="35" t="s">
        <v>119</v>
      </c>
      <c r="D4" s="32"/>
      <c r="E4" s="32"/>
      <c r="F4" s="32"/>
      <c r="G4" s="32"/>
      <c r="H4" s="32"/>
      <c r="I4" s="32"/>
      <c r="J4" s="32"/>
      <c r="K4" s="32"/>
      <c r="L4" s="32"/>
      <c r="M4" s="32"/>
      <c r="N4" s="32"/>
      <c r="O4" s="32"/>
      <c r="P4" s="32"/>
      <c r="Q4" s="32"/>
      <c r="R4" s="32"/>
      <c r="S4" s="32"/>
      <c r="T4" s="32"/>
      <c r="U4" s="32"/>
      <c r="V4" s="32"/>
      <c r="W4" s="32"/>
      <c r="X4" s="33"/>
    </row>
    <row r="5" spans="1:26" x14ac:dyDescent="0.25">
      <c r="B5" s="3" t="s">
        <v>77</v>
      </c>
      <c r="C5" s="35" t="s">
        <v>118</v>
      </c>
      <c r="D5" s="32"/>
      <c r="E5" s="32"/>
      <c r="F5" s="32"/>
      <c r="G5" s="32"/>
      <c r="H5" s="32"/>
      <c r="I5" s="32"/>
      <c r="J5" s="32"/>
      <c r="K5" s="32"/>
      <c r="L5" s="32"/>
      <c r="M5" s="32"/>
      <c r="N5" s="32"/>
      <c r="O5" s="32"/>
      <c r="P5" s="32"/>
      <c r="Q5" s="32"/>
      <c r="R5" s="32"/>
      <c r="S5" s="32"/>
      <c r="T5" s="32"/>
      <c r="U5" s="32"/>
      <c r="V5" s="32"/>
      <c r="W5" s="32"/>
      <c r="X5" s="33"/>
    </row>
    <row r="6" spans="1:26" x14ac:dyDescent="0.25">
      <c r="B6" s="3" t="s">
        <v>78</v>
      </c>
      <c r="C6" s="34" t="s">
        <v>136</v>
      </c>
      <c r="D6" s="32"/>
      <c r="E6" s="32"/>
      <c r="F6" s="32"/>
      <c r="G6" s="32"/>
      <c r="H6" s="32"/>
      <c r="I6" s="32"/>
      <c r="J6" s="32"/>
      <c r="K6" s="32"/>
      <c r="L6" s="32"/>
      <c r="M6" s="32"/>
      <c r="N6" s="32"/>
      <c r="O6" s="32"/>
      <c r="P6" s="32"/>
      <c r="Q6" s="32"/>
      <c r="R6" s="32"/>
      <c r="S6" s="32"/>
      <c r="T6" s="32"/>
      <c r="U6" s="32"/>
      <c r="V6" s="32"/>
      <c r="W6" s="32"/>
      <c r="X6" s="33"/>
    </row>
    <row r="8" spans="1:26" ht="15.75" x14ac:dyDescent="0.25">
      <c r="A8" s="36" t="s">
        <v>79</v>
      </c>
      <c r="B8" s="30"/>
      <c r="C8" s="30"/>
      <c r="D8" s="30"/>
      <c r="E8" s="30"/>
      <c r="F8" s="30"/>
      <c r="G8" s="30"/>
      <c r="H8" s="30"/>
      <c r="I8" s="30"/>
      <c r="J8" s="30"/>
      <c r="K8" s="30"/>
      <c r="L8" s="30"/>
      <c r="M8" s="30"/>
      <c r="N8" s="30"/>
      <c r="O8" s="30"/>
      <c r="P8" s="30"/>
      <c r="Q8" s="30"/>
      <c r="R8" s="30"/>
      <c r="S8" s="30"/>
      <c r="T8" s="30"/>
      <c r="U8" s="30"/>
      <c r="V8" s="30"/>
      <c r="W8" s="30"/>
      <c r="X8" s="30"/>
    </row>
    <row r="9" spans="1:26" ht="97.15" customHeight="1" x14ac:dyDescent="0.3">
      <c r="A9" s="4" t="s">
        <v>80</v>
      </c>
      <c r="B9" s="12" t="s">
        <v>81</v>
      </c>
      <c r="C9" s="12" t="s">
        <v>82</v>
      </c>
      <c r="D9" s="12" t="s">
        <v>83</v>
      </c>
      <c r="E9" s="12" t="s">
        <v>84</v>
      </c>
      <c r="F9" s="12" t="s">
        <v>106</v>
      </c>
      <c r="G9" s="4" t="s">
        <v>85</v>
      </c>
      <c r="H9" s="4" t="s">
        <v>86</v>
      </c>
      <c r="I9" s="4" t="s">
        <v>87</v>
      </c>
      <c r="J9" s="4" t="s">
        <v>88</v>
      </c>
      <c r="K9" s="4" t="s">
        <v>89</v>
      </c>
      <c r="L9" s="4" t="s">
        <v>90</v>
      </c>
      <c r="M9" s="4" t="s">
        <v>91</v>
      </c>
      <c r="N9" s="4" t="s">
        <v>92</v>
      </c>
      <c r="O9" s="4" t="s">
        <v>93</v>
      </c>
      <c r="P9" s="4" t="s">
        <v>94</v>
      </c>
      <c r="Q9" s="4" t="s">
        <v>95</v>
      </c>
      <c r="R9" s="4" t="s">
        <v>96</v>
      </c>
      <c r="S9" s="4" t="s">
        <v>97</v>
      </c>
      <c r="T9" s="4" t="s">
        <v>98</v>
      </c>
      <c r="U9" s="4" t="s">
        <v>99</v>
      </c>
      <c r="V9" s="4" t="s">
        <v>100</v>
      </c>
      <c r="W9" s="4" t="s">
        <v>101</v>
      </c>
      <c r="X9" s="4" t="s">
        <v>102</v>
      </c>
      <c r="Y9" s="5"/>
      <c r="Z9" s="5"/>
    </row>
    <row r="10" spans="1:26" s="23" customFormat="1" ht="48.6" customHeight="1" x14ac:dyDescent="0.25">
      <c r="A10" s="18" t="s">
        <v>112</v>
      </c>
      <c r="B10" s="16" t="s">
        <v>107</v>
      </c>
      <c r="C10" s="17" t="s">
        <v>108</v>
      </c>
      <c r="D10" s="17" t="s">
        <v>108</v>
      </c>
      <c r="E10" s="17" t="s">
        <v>108</v>
      </c>
      <c r="F10" s="16" t="s">
        <v>110</v>
      </c>
      <c r="G10" s="19"/>
      <c r="H10" s="20"/>
      <c r="I10" s="20"/>
      <c r="J10" s="17" t="s">
        <v>108</v>
      </c>
      <c r="K10" s="21" t="s">
        <v>109</v>
      </c>
      <c r="L10" s="17" t="s">
        <v>108</v>
      </c>
      <c r="M10" s="21" t="s">
        <v>109</v>
      </c>
      <c r="N10" s="17" t="s">
        <v>108</v>
      </c>
      <c r="O10" s="21" t="s">
        <v>109</v>
      </c>
      <c r="P10" s="17" t="s">
        <v>108</v>
      </c>
      <c r="Q10" s="21" t="s">
        <v>109</v>
      </c>
      <c r="R10" s="17" t="s">
        <v>108</v>
      </c>
      <c r="S10" s="21" t="s">
        <v>109</v>
      </c>
      <c r="T10" s="20"/>
      <c r="U10" s="20"/>
      <c r="V10" s="20" t="s">
        <v>111</v>
      </c>
      <c r="W10" s="20"/>
      <c r="X10" s="20"/>
      <c r="Y10" s="22"/>
      <c r="Z10" s="22"/>
    </row>
    <row r="11" spans="1:26" ht="102.6" customHeight="1" x14ac:dyDescent="0.25">
      <c r="A11" s="6">
        <v>1</v>
      </c>
      <c r="B11" s="13" t="s">
        <v>142</v>
      </c>
      <c r="C11" s="14" t="s">
        <v>11</v>
      </c>
      <c r="D11" s="14" t="s">
        <v>21</v>
      </c>
      <c r="E11" s="15" t="s">
        <v>13</v>
      </c>
      <c r="F11" s="13">
        <v>120</v>
      </c>
      <c r="G11" s="7" t="s">
        <v>137</v>
      </c>
      <c r="H11" s="7" t="s">
        <v>179</v>
      </c>
      <c r="I11" s="7" t="s">
        <v>192</v>
      </c>
      <c r="J11" s="8" t="s">
        <v>55</v>
      </c>
      <c r="K11" s="7" t="s">
        <v>143</v>
      </c>
      <c r="L11" s="8" t="s">
        <v>56</v>
      </c>
      <c r="M11" s="7" t="s">
        <v>138</v>
      </c>
      <c r="N11" s="8" t="s">
        <v>60</v>
      </c>
      <c r="O11" s="7" t="s">
        <v>144</v>
      </c>
      <c r="P11" s="8" t="s">
        <v>135</v>
      </c>
      <c r="Q11" s="7" t="s">
        <v>145</v>
      </c>
      <c r="R11" s="8" t="s">
        <v>126</v>
      </c>
      <c r="S11" s="7" t="s">
        <v>151</v>
      </c>
      <c r="T11" s="7" t="s">
        <v>152</v>
      </c>
      <c r="U11" s="7" t="s">
        <v>139</v>
      </c>
      <c r="V11" s="8" t="s">
        <v>31</v>
      </c>
      <c r="W11" s="7" t="s">
        <v>140</v>
      </c>
      <c r="X11" s="7" t="s">
        <v>141</v>
      </c>
    </row>
    <row r="12" spans="1:26" ht="97.9" customHeight="1" x14ac:dyDescent="0.25">
      <c r="A12" s="6">
        <v>2</v>
      </c>
      <c r="B12" s="7" t="s">
        <v>164</v>
      </c>
      <c r="C12" s="8" t="s">
        <v>11</v>
      </c>
      <c r="D12" s="8" t="s">
        <v>21</v>
      </c>
      <c r="E12" s="8" t="s">
        <v>13</v>
      </c>
      <c r="F12" s="7">
        <v>120</v>
      </c>
      <c r="G12" s="7" t="s">
        <v>188</v>
      </c>
      <c r="H12" s="7" t="s">
        <v>180</v>
      </c>
      <c r="I12" s="7" t="s">
        <v>146</v>
      </c>
      <c r="J12" s="8" t="s">
        <v>55</v>
      </c>
      <c r="K12" s="7" t="s">
        <v>147</v>
      </c>
      <c r="L12" s="8" t="s">
        <v>60</v>
      </c>
      <c r="M12" s="7" t="s">
        <v>148</v>
      </c>
      <c r="N12" s="8" t="s">
        <v>124</v>
      </c>
      <c r="O12" s="7" t="s">
        <v>149</v>
      </c>
      <c r="P12" s="8" t="s">
        <v>135</v>
      </c>
      <c r="Q12" s="7" t="s">
        <v>150</v>
      </c>
      <c r="R12" s="8" t="s">
        <v>126</v>
      </c>
      <c r="S12" s="7" t="s">
        <v>157</v>
      </c>
      <c r="T12" s="7" t="s">
        <v>178</v>
      </c>
      <c r="U12" s="7" t="s">
        <v>189</v>
      </c>
      <c r="V12" s="8" t="s">
        <v>31</v>
      </c>
      <c r="W12" s="7" t="s">
        <v>153</v>
      </c>
      <c r="X12" s="7" t="s">
        <v>154</v>
      </c>
    </row>
    <row r="13" spans="1:26" ht="39.75" customHeight="1" x14ac:dyDescent="0.25">
      <c r="A13" s="6">
        <v>3</v>
      </c>
      <c r="B13" s="7" t="s">
        <v>155</v>
      </c>
      <c r="C13" s="8" t="s">
        <v>11</v>
      </c>
      <c r="D13" s="8" t="s">
        <v>12</v>
      </c>
      <c r="E13" s="8" t="s">
        <v>13</v>
      </c>
      <c r="F13" s="7">
        <v>240</v>
      </c>
      <c r="G13" s="7" t="s">
        <v>166</v>
      </c>
      <c r="H13" s="7" t="s">
        <v>16</v>
      </c>
      <c r="I13" s="7" t="s">
        <v>34</v>
      </c>
      <c r="J13" s="8" t="s">
        <v>118</v>
      </c>
      <c r="K13" s="7" t="s">
        <v>169</v>
      </c>
      <c r="L13" s="8" t="s">
        <v>124</v>
      </c>
      <c r="M13" s="7" t="s">
        <v>156</v>
      </c>
      <c r="N13" s="8" t="s">
        <v>126</v>
      </c>
      <c r="O13" s="7" t="s">
        <v>158</v>
      </c>
      <c r="P13" s="8" t="s">
        <v>135</v>
      </c>
      <c r="Q13" s="7" t="s">
        <v>150</v>
      </c>
      <c r="R13" s="8" t="s">
        <v>60</v>
      </c>
      <c r="S13" s="7" t="s">
        <v>159</v>
      </c>
      <c r="T13" s="7" t="s">
        <v>160</v>
      </c>
      <c r="U13" s="7" t="s">
        <v>161</v>
      </c>
      <c r="V13" s="8" t="s">
        <v>31</v>
      </c>
      <c r="W13" s="7" t="s">
        <v>162</v>
      </c>
      <c r="X13" s="7" t="s">
        <v>163</v>
      </c>
    </row>
    <row r="14" spans="1:26" ht="39.75" customHeight="1" x14ac:dyDescent="0.25">
      <c r="A14" s="6">
        <v>4</v>
      </c>
      <c r="B14" s="7" t="s">
        <v>165</v>
      </c>
      <c r="C14" s="8" t="s">
        <v>11</v>
      </c>
      <c r="D14" s="8" t="s">
        <v>12</v>
      </c>
      <c r="E14" s="8" t="s">
        <v>13</v>
      </c>
      <c r="F14" s="7">
        <v>240</v>
      </c>
      <c r="G14" s="7" t="s">
        <v>167</v>
      </c>
      <c r="H14" s="7" t="s">
        <v>16</v>
      </c>
      <c r="I14" s="7" t="s">
        <v>168</v>
      </c>
      <c r="J14" s="8" t="s">
        <v>124</v>
      </c>
      <c r="K14" s="7" t="s">
        <v>171</v>
      </c>
      <c r="L14" s="8" t="s">
        <v>126</v>
      </c>
      <c r="M14" s="7" t="s">
        <v>170</v>
      </c>
      <c r="N14" s="8" t="s">
        <v>118</v>
      </c>
      <c r="O14" s="7" t="s">
        <v>172</v>
      </c>
      <c r="P14" s="8" t="s">
        <v>60</v>
      </c>
      <c r="Q14" s="7" t="s">
        <v>173</v>
      </c>
      <c r="R14" s="8"/>
      <c r="S14" s="7"/>
      <c r="T14" s="7" t="s">
        <v>174</v>
      </c>
      <c r="U14" s="7" t="s">
        <v>161</v>
      </c>
      <c r="V14" s="8" t="s">
        <v>31</v>
      </c>
      <c r="W14" s="7" t="s">
        <v>175</v>
      </c>
      <c r="X14" s="7" t="s">
        <v>176</v>
      </c>
    </row>
    <row r="15" spans="1:26" ht="39.75" customHeight="1" x14ac:dyDescent="0.25">
      <c r="A15" s="6">
        <v>5</v>
      </c>
      <c r="B15" s="7" t="s">
        <v>194</v>
      </c>
      <c r="C15" s="8" t="s">
        <v>20</v>
      </c>
      <c r="D15" s="8" t="s">
        <v>12</v>
      </c>
      <c r="E15" s="8" t="s">
        <v>46</v>
      </c>
      <c r="F15" s="7">
        <v>120</v>
      </c>
      <c r="G15" s="7" t="s">
        <v>177</v>
      </c>
      <c r="H15" s="7" t="s">
        <v>193</v>
      </c>
      <c r="I15" s="7" t="s">
        <v>181</v>
      </c>
      <c r="J15" s="8" t="s">
        <v>124</v>
      </c>
      <c r="K15" s="7" t="s">
        <v>182</v>
      </c>
      <c r="L15" s="8" t="s">
        <v>60</v>
      </c>
      <c r="M15" s="7" t="s">
        <v>183</v>
      </c>
      <c r="N15" s="8" t="s">
        <v>135</v>
      </c>
      <c r="O15" s="7" t="s">
        <v>184</v>
      </c>
      <c r="P15" s="8" t="s">
        <v>71</v>
      </c>
      <c r="Q15" s="7" t="s">
        <v>185</v>
      </c>
      <c r="R15" s="8"/>
      <c r="S15" s="7"/>
      <c r="T15" s="7" t="s">
        <v>186</v>
      </c>
      <c r="U15" s="7" t="s">
        <v>187</v>
      </c>
      <c r="V15" s="8" t="s">
        <v>31</v>
      </c>
      <c r="W15" s="7" t="s">
        <v>190</v>
      </c>
      <c r="X15" s="7" t="s">
        <v>191</v>
      </c>
    </row>
    <row r="16" spans="1:26" ht="39.75" customHeight="1" x14ac:dyDescent="0.25">
      <c r="A16" s="6">
        <v>6</v>
      </c>
      <c r="B16" s="7"/>
      <c r="C16" s="8"/>
      <c r="D16" s="8"/>
      <c r="E16" s="8"/>
      <c r="F16" s="7"/>
      <c r="G16" s="7"/>
      <c r="H16" s="7"/>
      <c r="I16" s="7"/>
      <c r="J16" s="8"/>
      <c r="K16" s="7"/>
      <c r="L16" s="8"/>
      <c r="M16" s="7"/>
      <c r="N16" s="8"/>
      <c r="O16" s="7"/>
      <c r="P16" s="8"/>
      <c r="Q16" s="7"/>
      <c r="R16" s="8"/>
      <c r="S16" s="7"/>
      <c r="T16" s="7"/>
      <c r="U16" s="7"/>
      <c r="V16" s="8"/>
      <c r="W16" s="7"/>
      <c r="X16" s="7"/>
    </row>
    <row r="17" spans="1:24" ht="39.75" customHeight="1" x14ac:dyDescent="0.25">
      <c r="A17" s="6">
        <v>7</v>
      </c>
      <c r="B17" s="7"/>
      <c r="C17" s="8"/>
      <c r="D17" s="8"/>
      <c r="E17" s="8"/>
      <c r="F17" s="7"/>
      <c r="G17" s="7"/>
      <c r="H17" s="7"/>
      <c r="I17" s="7"/>
      <c r="J17" s="8"/>
      <c r="K17" s="7"/>
      <c r="L17" s="8"/>
      <c r="M17" s="7"/>
      <c r="N17" s="8"/>
      <c r="O17" s="7"/>
      <c r="P17" s="8"/>
      <c r="Q17" s="7"/>
      <c r="R17" s="8"/>
      <c r="S17" s="7"/>
      <c r="T17" s="7"/>
      <c r="U17" s="7"/>
      <c r="V17" s="8"/>
      <c r="W17" s="7"/>
      <c r="X17" s="7"/>
    </row>
    <row r="18" spans="1:24" ht="39.75" customHeight="1" x14ac:dyDescent="0.25">
      <c r="A18" s="6">
        <v>8</v>
      </c>
      <c r="B18" s="7"/>
      <c r="C18" s="8"/>
      <c r="D18" s="8"/>
      <c r="E18" s="8"/>
      <c r="F18" s="7"/>
      <c r="G18" s="7"/>
      <c r="H18" s="7"/>
      <c r="I18" s="7"/>
      <c r="J18" s="8"/>
      <c r="K18" s="7"/>
      <c r="L18" s="8"/>
      <c r="M18" s="7"/>
      <c r="N18" s="8"/>
      <c r="O18" s="7"/>
      <c r="P18" s="8"/>
      <c r="Q18" s="7"/>
      <c r="R18" s="8"/>
      <c r="S18" s="7"/>
      <c r="T18" s="7"/>
      <c r="U18" s="7"/>
      <c r="V18" s="8"/>
      <c r="W18" s="7"/>
      <c r="X18" s="7"/>
    </row>
    <row r="19" spans="1:24" ht="39.75" customHeight="1" x14ac:dyDescent="0.25">
      <c r="A19" s="6">
        <v>9</v>
      </c>
      <c r="B19" s="7"/>
      <c r="C19" s="8"/>
      <c r="D19" s="8"/>
      <c r="E19" s="8"/>
      <c r="F19" s="7"/>
      <c r="G19" s="7"/>
      <c r="H19" s="7"/>
      <c r="I19" s="7"/>
      <c r="J19" s="8"/>
      <c r="K19" s="7"/>
      <c r="L19" s="8"/>
      <c r="M19" s="7"/>
      <c r="N19" s="8"/>
      <c r="O19" s="7"/>
      <c r="P19" s="8"/>
      <c r="Q19" s="7"/>
      <c r="R19" s="8"/>
      <c r="S19" s="7"/>
      <c r="T19" s="7"/>
      <c r="U19" s="7"/>
      <c r="V19" s="8"/>
      <c r="W19" s="7"/>
      <c r="X19" s="7"/>
    </row>
    <row r="20" spans="1:24" ht="39.75" customHeight="1" x14ac:dyDescent="0.25">
      <c r="A20" s="6">
        <v>10</v>
      </c>
      <c r="B20" s="7"/>
      <c r="C20" s="8"/>
      <c r="D20" s="8"/>
      <c r="E20" s="8"/>
      <c r="F20" s="7"/>
      <c r="G20" s="7"/>
      <c r="H20" s="7"/>
      <c r="I20" s="7"/>
      <c r="J20" s="8"/>
      <c r="K20" s="7"/>
      <c r="L20" s="8"/>
      <c r="M20" s="7"/>
      <c r="N20" s="8"/>
      <c r="O20" s="7"/>
      <c r="P20" s="8"/>
      <c r="Q20" s="7"/>
      <c r="R20" s="8"/>
      <c r="S20" s="7"/>
      <c r="T20" s="7"/>
      <c r="U20" s="7"/>
      <c r="V20" s="8"/>
      <c r="W20" s="7"/>
      <c r="X20" s="7"/>
    </row>
    <row r="21" spans="1:24" ht="39.75" customHeight="1" x14ac:dyDescent="0.25">
      <c r="A21" s="6">
        <v>11</v>
      </c>
      <c r="B21" s="7"/>
      <c r="C21" s="8"/>
      <c r="D21" s="8"/>
      <c r="E21" s="8"/>
      <c r="F21" s="7"/>
      <c r="G21" s="7"/>
      <c r="H21" s="7"/>
      <c r="I21" s="7"/>
      <c r="J21" s="8"/>
      <c r="K21" s="7"/>
      <c r="L21" s="8"/>
      <c r="M21" s="7"/>
      <c r="N21" s="8"/>
      <c r="O21" s="7"/>
      <c r="P21" s="8"/>
      <c r="Q21" s="7"/>
      <c r="R21" s="8"/>
      <c r="S21" s="7"/>
      <c r="T21" s="7"/>
      <c r="U21" s="7"/>
      <c r="V21" s="8"/>
      <c r="W21" s="7"/>
      <c r="X21" s="7"/>
    </row>
    <row r="22" spans="1:24" ht="39.75" customHeight="1" x14ac:dyDescent="0.25">
      <c r="A22" s="6">
        <v>12</v>
      </c>
      <c r="B22" s="7"/>
      <c r="C22" s="8"/>
      <c r="D22" s="8"/>
      <c r="E22" s="8"/>
      <c r="F22" s="7"/>
      <c r="G22" s="7"/>
      <c r="H22" s="7"/>
      <c r="I22" s="7"/>
      <c r="J22" s="8"/>
      <c r="K22" s="7"/>
      <c r="L22" s="8"/>
      <c r="M22" s="7"/>
      <c r="N22" s="8"/>
      <c r="O22" s="7"/>
      <c r="P22" s="8"/>
      <c r="Q22" s="7"/>
      <c r="R22" s="8"/>
      <c r="S22" s="7"/>
      <c r="T22" s="7"/>
      <c r="U22" s="7"/>
      <c r="V22" s="8"/>
      <c r="W22" s="7"/>
      <c r="X22" s="7"/>
    </row>
    <row r="23" spans="1:24" ht="39.75" customHeight="1" x14ac:dyDescent="0.25">
      <c r="A23" s="6">
        <v>13</v>
      </c>
      <c r="B23" s="7"/>
      <c r="C23" s="8"/>
      <c r="D23" s="8"/>
      <c r="E23" s="8"/>
      <c r="F23" s="7"/>
      <c r="G23" s="7"/>
      <c r="H23" s="7"/>
      <c r="I23" s="7"/>
      <c r="J23" s="8"/>
      <c r="K23" s="7"/>
      <c r="L23" s="8"/>
      <c r="M23" s="7"/>
      <c r="N23" s="8"/>
      <c r="O23" s="7"/>
      <c r="P23" s="8"/>
      <c r="Q23" s="7"/>
      <c r="R23" s="8"/>
      <c r="S23" s="7"/>
      <c r="T23" s="7"/>
      <c r="U23" s="7"/>
      <c r="V23" s="8"/>
      <c r="W23" s="7"/>
      <c r="X23" s="7"/>
    </row>
    <row r="24" spans="1:24" ht="39.75" customHeight="1" x14ac:dyDescent="0.25">
      <c r="A24" s="6">
        <v>14</v>
      </c>
      <c r="B24" s="7"/>
      <c r="C24" s="8"/>
      <c r="D24" s="8"/>
      <c r="E24" s="8"/>
      <c r="F24" s="7"/>
      <c r="G24" s="7"/>
      <c r="H24" s="7"/>
      <c r="I24" s="7"/>
      <c r="J24" s="8"/>
      <c r="K24" s="7"/>
      <c r="L24" s="8"/>
      <c r="M24" s="7"/>
      <c r="N24" s="8"/>
      <c r="O24" s="7"/>
      <c r="P24" s="8"/>
      <c r="Q24" s="7"/>
      <c r="R24" s="8"/>
      <c r="S24" s="7"/>
      <c r="T24" s="7"/>
      <c r="U24" s="7"/>
      <c r="V24" s="8"/>
      <c r="W24" s="7"/>
      <c r="X24" s="7"/>
    </row>
    <row r="25" spans="1:24" ht="39.75" customHeight="1" x14ac:dyDescent="0.25">
      <c r="A25" s="6">
        <v>15</v>
      </c>
      <c r="B25" s="7"/>
      <c r="C25" s="8"/>
      <c r="D25" s="8"/>
      <c r="E25" s="8"/>
      <c r="F25" s="7"/>
      <c r="G25" s="7"/>
      <c r="H25" s="7"/>
      <c r="I25" s="7"/>
      <c r="J25" s="8"/>
      <c r="K25" s="7"/>
      <c r="L25" s="8"/>
      <c r="M25" s="7"/>
      <c r="N25" s="8"/>
      <c r="O25" s="7"/>
      <c r="P25" s="8"/>
      <c r="Q25" s="7"/>
      <c r="R25" s="8"/>
      <c r="S25" s="7"/>
      <c r="T25" s="7"/>
      <c r="U25" s="7"/>
      <c r="V25" s="8"/>
      <c r="W25" s="7"/>
      <c r="X25" s="7"/>
    </row>
    <row r="26" spans="1:24" ht="15.75" customHeight="1" x14ac:dyDescent="0.25"/>
    <row r="27" spans="1:24" ht="15.75" customHeight="1" x14ac:dyDescent="0.25">
      <c r="A27" s="9" t="s">
        <v>103</v>
      </c>
    </row>
    <row r="28" spans="1:24" ht="15.75" customHeight="1" x14ac:dyDescent="0.25">
      <c r="A28" s="10" t="s">
        <v>104</v>
      </c>
      <c r="B28" s="29" t="e">
        <f ca="1">Выпадающий список(ТОЛЬКО из списка)</f>
        <v>#NAME?</v>
      </c>
      <c r="C28" s="30"/>
      <c r="D28" s="30"/>
      <c r="E28" s="30"/>
    </row>
    <row r="29" spans="1:24" ht="15.75" customHeight="1" x14ac:dyDescent="0.25">
      <c r="A29" s="11" t="s">
        <v>105</v>
      </c>
      <c r="B29" s="29" t="e">
        <f>Можно выбрать из списка ИЛИ написать своё</f>
        <v>#NAME?</v>
      </c>
      <c r="C29" s="30"/>
      <c r="D29" s="30"/>
      <c r="E29" s="30"/>
    </row>
    <row r="30" spans="1:24" ht="15.75" customHeight="1" x14ac:dyDescent="0.25"/>
    <row r="31" spans="1:24" ht="15.75" customHeight="1" x14ac:dyDescent="0.25"/>
    <row r="32" spans="1:2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mergeCells count="8">
    <mergeCell ref="B28:E28"/>
    <mergeCell ref="B29:E29"/>
    <mergeCell ref="A1:X1"/>
    <mergeCell ref="C3:X3"/>
    <mergeCell ref="C4:X4"/>
    <mergeCell ref="C5:X5"/>
    <mergeCell ref="C6:X6"/>
    <mergeCell ref="A8:X8"/>
  </mergeCells>
  <pageMargins left="0.75" right="0.75" top="1" bottom="1" header="0" footer="0"/>
  <pageSetup orientation="landscape" r:id="rId1"/>
  <extLst>
    <ext xmlns:x14="http://schemas.microsoft.com/office/spreadsheetml/2009/9/main" uri="{CCE6A557-97BC-4b89-ADB6-D9C93CAAB3DF}">
      <x14:dataValidations xmlns:xm="http://schemas.microsoft.com/office/excel/2006/main" count="11">
        <x14:dataValidation type="list" allowBlank="1" xr:uid="{00000000-0002-0000-0100-000000000000}">
          <x14:formula1>
            <xm:f>Справочники!$E$2:$E$6</xm:f>
          </x14:formula1>
          <xm:sqref>E11:E25</xm:sqref>
        </x14:dataValidation>
        <x14:dataValidation type="list" allowBlank="1" xr:uid="{00000000-0002-0000-0100-000001000000}">
          <x14:formula1>
            <xm:f>Справочники!$G$2:$G$6</xm:f>
          </x14:formula1>
          <xm:sqref>G11:G25</xm:sqref>
        </x14:dataValidation>
        <x14:dataValidation type="list" allowBlank="1" xr:uid="{00000000-0002-0000-0100-000002000000}">
          <x14:formula1>
            <xm:f>Справочники!$F$2:$F$4</xm:f>
          </x14:formula1>
          <xm:sqref>V11:V25</xm:sqref>
        </x14:dataValidation>
        <x14:dataValidation type="list" allowBlank="1" xr:uid="{00000000-0002-0000-0100-000003000000}">
          <x14:formula1>
            <xm:f>Справочники!$I$2:$I$7</xm:f>
          </x14:formula1>
          <xm:sqref>I11:I25</xm:sqref>
        </x14:dataValidation>
        <x14:dataValidation type="list" allowBlank="1" xr:uid="{00000000-0002-0000-0100-000005000000}">
          <x14:formula1>
            <xm:f>Справочники!$D$2:$D$5</xm:f>
          </x14:formula1>
          <xm:sqref>D11:D25</xm:sqref>
        </x14:dataValidation>
        <x14:dataValidation type="list" allowBlank="1" xr:uid="{00000000-0002-0000-0100-000006000000}">
          <x14:formula1>
            <xm:f>Справочники!$C$2:$C$3</xm:f>
          </x14:formula1>
          <xm:sqref>C11:C25</xm:sqref>
        </x14:dataValidation>
        <x14:dataValidation type="list" allowBlank="1" xr:uid="{00000000-0002-0000-0100-000008000000}">
          <x14:formula1>
            <xm:f>Справочники!$H$2:$H$7</xm:f>
          </x14:formula1>
          <xm:sqref>H11:H25</xm:sqref>
        </x14:dataValidation>
        <x14:dataValidation type="list" allowBlank="1" xr:uid="{00000000-0002-0000-0100-000009000000}">
          <x14:formula1>
            <xm:f>Справочники!$J$2:$J$8</xm:f>
          </x14:formula1>
          <xm:sqref>W11:W25</xm:sqref>
        </x14:dataValidation>
        <x14:dataValidation type="list" allowBlank="1" xr:uid="{00000000-0002-0000-0100-00000A000000}">
          <x14:formula1>
            <xm:f>Справочники!$K$2:$K$7</xm:f>
          </x14:formula1>
          <xm:sqref>X11:X25</xm:sqref>
        </x14:dataValidation>
        <x14:dataValidation type="list" allowBlank="1" xr:uid="{00000000-0002-0000-0100-000004000000}">
          <x14:formula1>
            <xm:f>Справочники!$A$2:$A$13</xm:f>
          </x14:formula1>
          <xm:sqref>C4:X4</xm:sqref>
        </x14:dataValidation>
        <x14:dataValidation type="list" allowBlank="1" xr:uid="{00000000-0002-0000-0100-000007000000}">
          <x14:formula1>
            <xm:f>Справочники!$B$2:$B$44</xm:f>
          </x14:formula1>
          <xm:sqref>C5 R11:R25 P11:P25 N11:N25 J11:J25 L11:L25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Справочники</vt:lpstr>
      <vt:lpstr>ШАБЛОН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Александр Ларин</cp:lastModifiedBy>
  <dcterms:created xsi:type="dcterms:W3CDTF">2025-12-06T19:31:51Z</dcterms:created>
  <dcterms:modified xsi:type="dcterms:W3CDTF">2026-01-26T07:44:02Z</dcterms:modified>
</cp:coreProperties>
</file>