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F6CDDA2-53F2-4615-BCD5-3C799F766E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7" i="2" l="1"/>
  <c r="B26" i="2"/>
</calcChain>
</file>

<file path=xl/sharedStrings.xml><?xml version="1.0" encoding="utf-8"?>
<sst xmlns="http://schemas.openxmlformats.org/spreadsheetml/2006/main" count="337" uniqueCount="219">
  <si>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</si>
  <si>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</si>
  <si>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</si>
  <si>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</si>
  <si>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</si>
  <si>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</si>
  <si>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</si>
  <si>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</si>
  <si>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</si>
  <si>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</si>
  <si>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</si>
  <si>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</si>
  <si>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</si>
  <si>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</si>
  <si>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</si>
  <si>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</si>
  <si>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</si>
  <si>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</si>
  <si>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</si>
  <si>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</si>
  <si>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</si>
  <si>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</si>
  <si>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</si>
  <si>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</si>
  <si>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</si>
  <si>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</si>
  <si>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</si>
  <si>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</si>
  <si>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</si>
  <si>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</si>
  <si>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</si>
  <si>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</si>
  <si>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</si>
  <si>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</si>
  <si>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</si>
  <si>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</si>
  <si>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</si>
  <si>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</si>
  <si>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</si>
  <si>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</si>
  <si>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</si>
  <si>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</si>
  <si>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</si>
  <si>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</si>
  <si>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</si>
  <si>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</si>
  <si>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</si>
  <si>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</si>
  <si>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</si>
  <si>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</si>
  <si>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</si>
  <si>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</si>
  <si>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</si>
  <si>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</si>
  <si>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</si>
  <si>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</si>
  <si>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</si>
  <si>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</si>
  <si>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</si>
  <si>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</si>
  <si>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</si>
  <si>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</si>
  <si>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</si>
  <si>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</si>
  <si>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</si>
  <si>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</si>
  <si>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</si>
  <si>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</si>
  <si>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</si>
  <si>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</si>
  <si>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</si>
  <si>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</si>
  <si>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</si>
  <si>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</si>
  <si>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</si>
  <si>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</si>
  <si>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</si>
  <si>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</si>
  <si>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</si>
  <si>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</si>
  <si>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</si>
  <si>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</si>
  <si>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</si>
  <si>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</si>
  <si>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</si>
  <si>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</si>
  <si>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</si>
  <si>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</si>
  <si>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</si>
  <si>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</si>
  <si>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</si>
  <si>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</si>
  <si>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</si>
  <si>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</si>
  <si>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</si>
  <si>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</si>
  <si>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</si>
  <si>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</si>
  <si>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</si>
  <si>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</si>
  <si>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</si>
  <si>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</si>
  <si>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</si>
  <si>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</si>
  <si>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</si>
  <si>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</si>
  <si>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</si>
  <si>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</si>
  <si>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</si>
  <si>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</si>
  <si>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</si>
  <si>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</si>
  <si>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</si>
  <si>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</si>
  <si>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</si>
  <si>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</si>
  <si>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</si>
  <si>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</si>
  <si>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</si>
  <si>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</si>
  <si>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</si>
  <si>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</si>
  <si>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</si>
  <si>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</si>
  <si>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</si>
  <si>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</si>
  <si>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</si>
  <si>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</si>
  <si>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</si>
  <si>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</si>
  <si>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</si>
  <si>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Продуктолог группы стран "Экзотика"</t>
  </si>
  <si>
    <t xml:space="preserve">Запрашиваю и заполняю договора с партнерами </t>
  </si>
  <si>
    <t>Запрашиваю актуальные специальные предложения у партнеров</t>
  </si>
  <si>
    <t xml:space="preserve">Провожу вебинары и обучение сотрудников </t>
  </si>
  <si>
    <t xml:space="preserve">Посещаю профессиональные мероприятия </t>
  </si>
  <si>
    <t xml:space="preserve">Организую личные встречи с партнерами </t>
  </si>
  <si>
    <t xml:space="preserve">Составляю рекламные объявления для B2B/B2C </t>
  </si>
  <si>
    <t xml:space="preserve">нет проблемы </t>
  </si>
  <si>
    <t xml:space="preserve">сообщаю о полученных изменениях (через Битрикс, мейл рассылка), при необходимости ожидаю обратную связь от менеджеров отдела продаж </t>
  </si>
  <si>
    <t xml:space="preserve">сообщаю о полученных изменениях (через Битрикс, мейл рассылка), при необходимости ожидаю обратную связь от менеджеров ВИП отдела </t>
  </si>
  <si>
    <t>сообщаю о полученных изменениях (через Битрикс, мейл рассылка), при необходимости ожидаю обратную связь от менеджеров отдела бронирования</t>
  </si>
  <si>
    <t>После анализа полученной от партнера информации выявляю изменения,резюмирую их, ставлю задачу в отдел контент-маркетинга для внесения правок на сайт,контроль задачи.</t>
  </si>
  <si>
    <t>Обновляю содерждание/состав продукта: маршруты экскурсионных туров, описание отелей,уведомления о ремонтных работах,изменения концепций питания и другое.</t>
  </si>
  <si>
    <t xml:space="preserve">Если изменения требуют корректировки в составе продукта, то ставлю задачу в отдел тарификации. Контроль задачи. </t>
  </si>
  <si>
    <t>Проверяю stop sales в отелях</t>
  </si>
  <si>
    <t>Изучаю полученные специальные предложения от отелей, а также наши продукты,которые необходимо продвинуть, и на основании проанализированной информации составляю рекламное предложение для  B2B и вношу их в Google таблицу</t>
  </si>
  <si>
    <t>Создаю уникальный текст предложения для B2C, вношу в Google таблицы для SMM, телеграмм.</t>
  </si>
  <si>
    <t>Запрос информации,анализ,обработка текстов,ручной ввод</t>
  </si>
  <si>
    <t>запрашиваю актуальные стоп листы(календари) в отелях,проверяю рабочую почту на предмет наличия календарей, ищу актуальные файлы в чатах с отелями в what's up,телеграмм</t>
  </si>
  <si>
    <t xml:space="preserve">почта, Битрикс.Само </t>
  </si>
  <si>
    <t xml:space="preserve">Сайты отелей,группы в мессенджерах </t>
  </si>
  <si>
    <t xml:space="preserve">Автоматизация календарей (stop sales) по Мальдивам.При получении файла от отеля вносить его в систему,чтобы автоматически отражалось наличие , в идеале обновлялись стопы.  </t>
  </si>
  <si>
    <t xml:space="preserve">После получения и анализа полученной информации об актуальном наличии мест в отелях, я ставлю задачу в отдел тарифов с указанием отелей, конкретных дат, типов номеров и прошу проставить/снять/обновить  стопы. </t>
  </si>
  <si>
    <t>При внесении информации, например, о сроках ремонта в отеле,я указываю конкретные даты. Если автоматически из нашей системы будет приходить уведомление,что "ремонтные работы закончатся через 3 дня", то будет возможность продлить сроки или переуточнить информацию.</t>
  </si>
  <si>
    <t>После окончания действия СПО необходимо запрашивать обновленные оферы у отеля</t>
  </si>
  <si>
    <t xml:space="preserve">Запрашиваю у  отелей действующие специальные предложения, ставлю задачу в отдел тарифов на расчет новых цен </t>
  </si>
  <si>
    <t xml:space="preserve">Не всегда вовремя (или с задержкой) присылают спец предложения </t>
  </si>
  <si>
    <t xml:space="preserve">по окончании действия спец предложения информация об отсутствии ( или окончании) нового действущего офера поступала в отдел тарификации автоматически,чтобы без потери времени запросить обновленные оферы в отеле   </t>
  </si>
  <si>
    <t xml:space="preserve">После получения и заполнения договора отправляю на подпись </t>
  </si>
  <si>
    <t>После окончания действия договора необходимо запрашивать новый договор о сотрудничестве у партнеров</t>
  </si>
  <si>
    <t xml:space="preserve">Не всегда вовремя (или с задержкой) отели присылают новые договора </t>
  </si>
  <si>
    <t xml:space="preserve">по окончании действия контракта/договора автоматически приходила информация об отсутствии или окончании его,чтобы без потери времени запросить пролонгацию в отеле   </t>
  </si>
  <si>
    <t>20-60</t>
  </si>
  <si>
    <t xml:space="preserve">Передача информации заинтересованным лицам </t>
  </si>
  <si>
    <t xml:space="preserve">нельзя автоматизировать </t>
  </si>
  <si>
    <t xml:space="preserve">запрашиваю презентацию,предоставляю необходимую информацию </t>
  </si>
  <si>
    <t xml:space="preserve">доступ к общему фото банку,где можно найти актуальные фото и видео материалы,чтобы избежать запроса и долгого ожидания от отелей </t>
  </si>
  <si>
    <t xml:space="preserve">повышение квалификации и налаживание контактов с партнерами </t>
  </si>
  <si>
    <t>нельзя автоматизировать</t>
  </si>
  <si>
    <t xml:space="preserve">обмен и получение информации </t>
  </si>
  <si>
    <t xml:space="preserve">Телефон, электронная почта </t>
  </si>
  <si>
    <t xml:space="preserve">Электронная почта </t>
  </si>
  <si>
    <t xml:space="preserve">Само, Битрикс, электронная почта </t>
  </si>
  <si>
    <t xml:space="preserve">Мониторю и анализирую цены </t>
  </si>
  <si>
    <t xml:space="preserve">Выявляю расхождения/несоответствия  цен с основными кокурентами </t>
  </si>
  <si>
    <t>технический сбой,ошибка в расчетах,отсутствие актуальных спец предложений</t>
  </si>
  <si>
    <t>неверные цены или их отсутствие</t>
  </si>
  <si>
    <t xml:space="preserve">Битрикс </t>
  </si>
  <si>
    <t>сайты партнеров,Слетать.ру</t>
  </si>
  <si>
    <t xml:space="preserve">Битрикс,электронная почта, </t>
  </si>
  <si>
    <t xml:space="preserve">мессенджеры в соц сетях </t>
  </si>
  <si>
    <t xml:space="preserve">Таблицы Google, Битрикс, </t>
  </si>
  <si>
    <t xml:space="preserve">Телеграмм </t>
  </si>
  <si>
    <t xml:space="preserve">ставлю задачу на предмет актуализации цен по конкретному отелю </t>
  </si>
  <si>
    <t xml:space="preserve">анализ полученной информации,поиск решения проблемы </t>
  </si>
  <si>
    <t xml:space="preserve">1. неверные цены </t>
  </si>
  <si>
    <t xml:space="preserve">1. ошибка менеджера или отдела тарификации </t>
  </si>
  <si>
    <t xml:space="preserve">1. задача на проверку цен </t>
  </si>
  <si>
    <t xml:space="preserve">1.  задача на размещение баннеров на сайте , рекламных постов с целью поддержки "проблемного" отеля и стимулирования продаж  </t>
  </si>
  <si>
    <t>сайты партнеров</t>
  </si>
  <si>
    <t xml:space="preserve">Разрабатываю рекламные туры:         1. Создаю уникальную программу тура                                                                    2. выгружаю статистику по каждому отелю                                                                3. отправляю запросы в отели на размещение                                                  4. запрашиваю групповые тарифы на перелет                                                            5. Размещаю на сайте рекламный тур  </t>
  </si>
  <si>
    <t xml:space="preserve">трудоемкая задача </t>
  </si>
  <si>
    <t>запрашиваю стоимость и возможность бронирования группы на нужно мне рейсе</t>
  </si>
  <si>
    <t xml:space="preserve">Ставлю задачу на расчет и внесение в систему сформированного мной тура </t>
  </si>
  <si>
    <t xml:space="preserve">Ставлю задачу на размещение программы на сайте </t>
  </si>
  <si>
    <t xml:space="preserve">Ставлю задачу для начала набора группы </t>
  </si>
  <si>
    <t xml:space="preserve">Ставлю задачу на снятие тура при наборе группы </t>
  </si>
  <si>
    <t xml:space="preserve">карты Google,поисковые системы в интернете,сайты отелей </t>
  </si>
  <si>
    <t>2. Статистика по продажам выгружается без фамилий. Приходится сводить данные вручную. Необходимо создать форму (шаблон)</t>
  </si>
  <si>
    <t xml:space="preserve">Формирую и вывожу новый продукт: 1. генерирую идею                                     2. анализирую целевую аудиторию   3. анализирую рынок и конкурентов 4. оцениваю жизнеспособность будущего продукта                                      5. расчитываю себестоимость и формирую цену                                            6. продумываю график заездов </t>
  </si>
  <si>
    <t>трудоемкий процесс</t>
  </si>
  <si>
    <t xml:space="preserve">Социальные сети, сайты конкурентов, профессиональные сообщества,ChatGPT </t>
  </si>
  <si>
    <t xml:space="preserve">1. создание " умных" таблиц (алгоритмов) для автоматического расчета калькуляции  при условии внесения основных параметов                    2.  создание программы для поиска и анализа событий ( фестивалей,концертов и тд) по разным странам в интернете  </t>
  </si>
  <si>
    <t xml:space="preserve">Решаю проблемные ситуации :            1.  заявки с отрицательной прибылью   2.  перепродажа мест в отеле,переселение                                   3.   конфликты,недовольство туристов                                                           4.  Запрос подтвердить по цене другого оператора          </t>
  </si>
  <si>
    <t>Система мониторинга отзывов в интернете по опредленным отелям</t>
  </si>
  <si>
    <t xml:space="preserve"> </t>
  </si>
  <si>
    <t>приходил отчет от агрегаторов,что наших продуктов( цен) по конкректной стране нет  на сайте агрегатора ( слетать.ру ) с указанием причины</t>
  </si>
  <si>
    <t>Логвинова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</si>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</sst>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3" borderId="5" xfId="0" applyFont="1" applyFill="1" applyBorder="1" applyAlignment="1">
      <alignment vertical="top" wrapText="1"/>
    </xf>
    <xf numFmtId="0" fontId="20" fillId="3" borderId="5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20" fillId="3" borderId="10" xfId="0" applyFont="1" applyFill="1" applyBorder="1" applyAlignment="1">
      <alignment vertical="top" wrapText="1"/>
    </xf>
    <xf numFmtId="0" fontId="1" fillId="0" borderId="0" xfId="0" applyFont="1"/>
    <xf numFmtId="0" fontId="2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210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211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212</v>
      </c>
    </row>
    <row r="36" spans="1:2" ht="15.75" customHeight="1" x14ac:dyDescent="0.25">
      <c r="B36" s="24" t="s">
        <v>213</v>
      </c>
    </row>
    <row r="37" spans="1:2" ht="15.75" customHeight="1" x14ac:dyDescent="0.25">
      <c r="B37" s="32" t="s">
        <v>214</v>
      </c>
    </row>
    <row r="38" spans="1:2" ht="15.75" customHeight="1" x14ac:dyDescent="0.25">
      <c r="B38" s="33" t="s">
        <v>215</v>
      </c>
    </row>
    <row r="39" spans="1:2" ht="15.75" customHeight="1" x14ac:dyDescent="0.25">
      <c r="B39" s="24" t="s">
        <v>209</v>
      </c>
    </row>
    <row r="40" spans="1:2" ht="15.75" customHeight="1" x14ac:dyDescent="0.25">
      <c r="B40" s="24" t="s">
        <v>56</v>
      </c>
    </row>
    <row r="41" spans="1:2" ht="15.75" customHeight="1" x14ac:dyDescent="0.25">
      <c r="B41" s="32" t="s">
        <v>216</v>
      </c>
    </row>
    <row r="42" spans="1:2" ht="15.75" customHeight="1" x14ac:dyDescent="0.25">
      <c r="B42" t="s">
        <v>217</v>
      </c>
    </row>
    <row r="43" spans="1:2" ht="15.75" customHeight="1" x14ac:dyDescent="0.25">
      <c r="B43" t="s">
        <v>218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activeCell="J11" activeCellId="4" sqref="C5 R11:R23 P11:P23 N11:N23 J11:J23 L11:L23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6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</row>
    <row r="3" spans="1:26" x14ac:dyDescent="0.25">
      <c r="B3" s="3" t="s">
        <v>75</v>
      </c>
      <c r="C3" s="39" t="s">
        <v>208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</row>
    <row r="4" spans="1:26" x14ac:dyDescent="0.25">
      <c r="B4" s="3" t="s">
        <v>76</v>
      </c>
      <c r="C4" s="40" t="s">
        <v>115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</row>
    <row r="5" spans="1:26" x14ac:dyDescent="0.25">
      <c r="B5" s="3" t="s">
        <v>77</v>
      </c>
      <c r="C5" s="40" t="s">
        <v>124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8"/>
    </row>
    <row r="6" spans="1:26" x14ac:dyDescent="0.25">
      <c r="B6" s="3" t="s">
        <v>78</v>
      </c>
      <c r="C6" s="39" t="s">
        <v>131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8"/>
    </row>
    <row r="8" spans="1:26" ht="15.75" x14ac:dyDescent="0.25">
      <c r="A8" s="41" t="s">
        <v>79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31" t="s">
        <v>200</v>
      </c>
      <c r="C11" s="14" t="s">
        <v>11</v>
      </c>
      <c r="D11" s="14" t="s">
        <v>12</v>
      </c>
      <c r="E11" s="15" t="s">
        <v>46</v>
      </c>
      <c r="F11" s="13">
        <v>1440</v>
      </c>
      <c r="G11" s="7" t="s">
        <v>24</v>
      </c>
      <c r="H11" s="7" t="s">
        <v>201</v>
      </c>
      <c r="I11" s="7" t="s">
        <v>34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 t="s">
        <v>202</v>
      </c>
      <c r="V11" s="8" t="s">
        <v>31</v>
      </c>
      <c r="W11" s="7" t="s">
        <v>203</v>
      </c>
      <c r="X11" s="7" t="s">
        <v>36</v>
      </c>
    </row>
    <row r="12" spans="1:26" ht="39.75" customHeight="1" x14ac:dyDescent="0.25">
      <c r="A12" s="6">
        <v>2</v>
      </c>
      <c r="B12" s="28" t="s">
        <v>191</v>
      </c>
      <c r="C12" s="30" t="s">
        <v>206</v>
      </c>
      <c r="D12" s="8" t="s">
        <v>29</v>
      </c>
      <c r="E12" s="8" t="s">
        <v>46</v>
      </c>
      <c r="F12" s="7">
        <v>120</v>
      </c>
      <c r="G12" s="7" t="s">
        <v>15</v>
      </c>
      <c r="H12" s="7" t="s">
        <v>16</v>
      </c>
      <c r="I12" s="7" t="s">
        <v>192</v>
      </c>
      <c r="J12" s="8" t="s">
        <v>72</v>
      </c>
      <c r="K12" s="7" t="s">
        <v>193</v>
      </c>
      <c r="L12" s="8" t="s">
        <v>126</v>
      </c>
      <c r="M12" s="7" t="s">
        <v>194</v>
      </c>
      <c r="N12" s="8" t="s">
        <v>57</v>
      </c>
      <c r="O12" s="7" t="s">
        <v>195</v>
      </c>
      <c r="P12" s="8" t="s">
        <v>60</v>
      </c>
      <c r="Q12" s="7" t="s">
        <v>196</v>
      </c>
      <c r="R12" s="8" t="s">
        <v>126</v>
      </c>
      <c r="S12" s="7" t="s">
        <v>197</v>
      </c>
      <c r="T12" s="7" t="s">
        <v>173</v>
      </c>
      <c r="U12" s="7" t="s">
        <v>198</v>
      </c>
      <c r="V12" s="8" t="s">
        <v>31</v>
      </c>
      <c r="W12" s="7" t="s">
        <v>199</v>
      </c>
      <c r="X12" s="7" t="s">
        <v>51</v>
      </c>
    </row>
    <row r="13" spans="1:26" ht="39.75" customHeight="1" x14ac:dyDescent="0.25">
      <c r="A13" s="6">
        <v>3</v>
      </c>
      <c r="B13" s="28" t="s">
        <v>204</v>
      </c>
      <c r="C13" s="30" t="s">
        <v>11</v>
      </c>
      <c r="D13" s="8" t="s">
        <v>29</v>
      </c>
      <c r="E13" s="8" t="s">
        <v>22</v>
      </c>
      <c r="F13" s="7">
        <v>60</v>
      </c>
      <c r="G13" s="29" t="s">
        <v>185</v>
      </c>
      <c r="H13" s="7" t="s">
        <v>186</v>
      </c>
      <c r="I13" s="29" t="s">
        <v>187</v>
      </c>
      <c r="J13" s="8" t="s">
        <v>126</v>
      </c>
      <c r="K13" s="7" t="s">
        <v>188</v>
      </c>
      <c r="L13" s="8" t="s">
        <v>57</v>
      </c>
      <c r="M13" s="29" t="s">
        <v>189</v>
      </c>
      <c r="N13" s="8"/>
      <c r="O13" s="7"/>
      <c r="P13" s="8"/>
      <c r="Q13" s="7"/>
      <c r="R13" s="8"/>
      <c r="S13" s="7"/>
      <c r="T13" s="29" t="s">
        <v>173</v>
      </c>
      <c r="U13" s="29" t="s">
        <v>190</v>
      </c>
      <c r="V13" s="8" t="s">
        <v>31</v>
      </c>
      <c r="W13" s="29" t="s">
        <v>205</v>
      </c>
      <c r="X13" s="7" t="s">
        <v>51</v>
      </c>
    </row>
    <row r="14" spans="1:26" ht="39.75" customHeight="1" x14ac:dyDescent="0.25">
      <c r="A14" s="6">
        <v>4</v>
      </c>
      <c r="B14" s="28" t="s">
        <v>143</v>
      </c>
      <c r="C14" s="8" t="s">
        <v>11</v>
      </c>
      <c r="D14" s="8" t="s">
        <v>29</v>
      </c>
      <c r="E14" s="8" t="s">
        <v>13</v>
      </c>
      <c r="F14" s="7">
        <v>40</v>
      </c>
      <c r="G14" s="7" t="s">
        <v>24</v>
      </c>
      <c r="H14" s="29" t="s">
        <v>41</v>
      </c>
      <c r="I14" s="7" t="s">
        <v>26</v>
      </c>
      <c r="J14" s="30" t="s">
        <v>57</v>
      </c>
      <c r="K14" s="29" t="s">
        <v>142</v>
      </c>
      <c r="L14" s="8" t="s">
        <v>118</v>
      </c>
      <c r="M14" s="29" t="s">
        <v>139</v>
      </c>
      <c r="N14" s="8" t="s">
        <v>52</v>
      </c>
      <c r="O14" s="7" t="s">
        <v>141</v>
      </c>
      <c r="P14" s="8" t="s">
        <v>116</v>
      </c>
      <c r="Q14" s="7" t="s">
        <v>140</v>
      </c>
      <c r="R14" s="8" t="s">
        <v>126</v>
      </c>
      <c r="S14" s="29" t="s">
        <v>144</v>
      </c>
      <c r="T14" s="29" t="s">
        <v>173</v>
      </c>
      <c r="U14" s="7"/>
      <c r="V14" s="8" t="s">
        <v>31</v>
      </c>
      <c r="W14" s="29" t="s">
        <v>154</v>
      </c>
      <c r="X14" s="7" t="s">
        <v>51</v>
      </c>
    </row>
    <row r="15" spans="1:26" ht="45.75" customHeight="1" x14ac:dyDescent="0.25">
      <c r="A15" s="6">
        <v>5</v>
      </c>
      <c r="B15" s="28" t="s">
        <v>133</v>
      </c>
      <c r="C15" s="8" t="s">
        <v>11</v>
      </c>
      <c r="D15" s="8" t="s">
        <v>29</v>
      </c>
      <c r="E15" s="8" t="s">
        <v>46</v>
      </c>
      <c r="F15" s="7">
        <v>30</v>
      </c>
      <c r="G15" s="29" t="s">
        <v>24</v>
      </c>
      <c r="H15" s="29" t="s">
        <v>155</v>
      </c>
      <c r="I15" s="29" t="s">
        <v>157</v>
      </c>
      <c r="J15" s="8" t="s">
        <v>126</v>
      </c>
      <c r="K15" s="29" t="s">
        <v>156</v>
      </c>
      <c r="L15" s="8"/>
      <c r="M15" s="7"/>
      <c r="N15" s="8"/>
      <c r="O15" s="7"/>
      <c r="P15" s="8"/>
      <c r="Q15" s="7"/>
      <c r="R15" s="8"/>
      <c r="S15" s="7"/>
      <c r="T15" s="29" t="s">
        <v>180</v>
      </c>
      <c r="U15" s="7" t="s">
        <v>181</v>
      </c>
      <c r="V15" s="8" t="s">
        <v>23</v>
      </c>
      <c r="W15" s="29" t="s">
        <v>158</v>
      </c>
      <c r="X15" s="7" t="s">
        <v>51</v>
      </c>
    </row>
    <row r="16" spans="1:26" ht="39.75" customHeight="1" x14ac:dyDescent="0.25">
      <c r="A16" s="6">
        <v>6</v>
      </c>
      <c r="B16" s="28" t="s">
        <v>132</v>
      </c>
      <c r="C16" s="8" t="s">
        <v>11</v>
      </c>
      <c r="D16" s="8" t="s">
        <v>38</v>
      </c>
      <c r="E16" s="8" t="s">
        <v>46</v>
      </c>
      <c r="F16" s="7">
        <v>30</v>
      </c>
      <c r="G16" s="7" t="s">
        <v>24</v>
      </c>
      <c r="H16" s="29" t="s">
        <v>160</v>
      </c>
      <c r="I16" s="29" t="s">
        <v>161</v>
      </c>
      <c r="J16" s="8" t="s">
        <v>114</v>
      </c>
      <c r="K16" s="29" t="s">
        <v>159</v>
      </c>
      <c r="L16" s="8"/>
      <c r="M16" s="7"/>
      <c r="N16" s="8"/>
      <c r="O16" s="7"/>
      <c r="P16" s="8"/>
      <c r="Q16" s="7"/>
      <c r="R16" s="8"/>
      <c r="S16" s="7"/>
      <c r="T16" s="29" t="s">
        <v>172</v>
      </c>
      <c r="U16" s="7"/>
      <c r="V16" s="8" t="s">
        <v>14</v>
      </c>
      <c r="W16" s="29" t="s">
        <v>162</v>
      </c>
      <c r="X16" s="7" t="s">
        <v>51</v>
      </c>
    </row>
    <row r="17" spans="1:24" ht="39.75" customHeight="1" x14ac:dyDescent="0.25">
      <c r="A17" s="6">
        <v>7</v>
      </c>
      <c r="B17" s="28" t="s">
        <v>174</v>
      </c>
      <c r="C17" s="8" t="s">
        <v>11</v>
      </c>
      <c r="D17" s="8" t="s">
        <v>21</v>
      </c>
      <c r="E17" s="8" t="s">
        <v>13</v>
      </c>
      <c r="F17" s="7">
        <v>120</v>
      </c>
      <c r="G17" s="7" t="s">
        <v>175</v>
      </c>
      <c r="H17" s="29" t="s">
        <v>177</v>
      </c>
      <c r="I17" s="29" t="s">
        <v>176</v>
      </c>
      <c r="J17" s="8" t="s">
        <v>126</v>
      </c>
      <c r="K17" s="7" t="s">
        <v>184</v>
      </c>
      <c r="L17" s="8"/>
      <c r="M17" s="7"/>
      <c r="N17" s="8"/>
      <c r="O17" s="7"/>
      <c r="P17" s="8"/>
      <c r="Q17" s="7"/>
      <c r="R17" s="8"/>
      <c r="S17" s="7"/>
      <c r="T17" s="7" t="s">
        <v>178</v>
      </c>
      <c r="U17" s="7" t="s">
        <v>179</v>
      </c>
      <c r="V17" s="8" t="s">
        <v>31</v>
      </c>
      <c r="W17" s="29" t="s">
        <v>207</v>
      </c>
      <c r="X17" s="7" t="s">
        <v>51</v>
      </c>
    </row>
    <row r="18" spans="1:24" ht="39.75" customHeight="1" x14ac:dyDescent="0.25">
      <c r="A18" s="6">
        <v>8</v>
      </c>
      <c r="B18" s="28" t="s">
        <v>134</v>
      </c>
      <c r="C18" s="8" t="s">
        <v>11</v>
      </c>
      <c r="D18" s="8" t="s">
        <v>38</v>
      </c>
      <c r="E18" s="8" t="s">
        <v>46</v>
      </c>
      <c r="F18" s="29" t="s">
        <v>163</v>
      </c>
      <c r="G18" s="29" t="s">
        <v>164</v>
      </c>
      <c r="H18" s="29" t="s">
        <v>138</v>
      </c>
      <c r="I18" s="29" t="s">
        <v>138</v>
      </c>
      <c r="J18" s="8" t="s">
        <v>57</v>
      </c>
      <c r="K18" s="7" t="s">
        <v>166</v>
      </c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14</v>
      </c>
      <c r="W18" s="29" t="s">
        <v>165</v>
      </c>
      <c r="X18" s="7" t="s">
        <v>51</v>
      </c>
    </row>
    <row r="19" spans="1:24" ht="39.75" customHeight="1" x14ac:dyDescent="0.25">
      <c r="A19" s="6">
        <v>9</v>
      </c>
      <c r="B19" s="28" t="s">
        <v>135</v>
      </c>
      <c r="C19" s="8" t="s">
        <v>11</v>
      </c>
      <c r="D19" s="8" t="s">
        <v>38</v>
      </c>
      <c r="E19" s="8" t="s">
        <v>46</v>
      </c>
      <c r="F19" s="7">
        <v>240</v>
      </c>
      <c r="G19" s="29" t="s">
        <v>168</v>
      </c>
      <c r="H19" s="29" t="s">
        <v>138</v>
      </c>
      <c r="I19" s="29" t="s">
        <v>138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14</v>
      </c>
      <c r="W19" s="29" t="s">
        <v>169</v>
      </c>
      <c r="X19" s="7" t="s">
        <v>51</v>
      </c>
    </row>
    <row r="20" spans="1:24" ht="39.75" customHeight="1" x14ac:dyDescent="0.25">
      <c r="A20" s="6">
        <v>10</v>
      </c>
      <c r="B20" s="27" t="s">
        <v>136</v>
      </c>
      <c r="C20" s="8" t="s">
        <v>11</v>
      </c>
      <c r="D20" s="8" t="s">
        <v>38</v>
      </c>
      <c r="E20" s="8" t="s">
        <v>46</v>
      </c>
      <c r="F20" s="7">
        <v>60</v>
      </c>
      <c r="G20" s="29" t="s">
        <v>170</v>
      </c>
      <c r="H20" s="29" t="s">
        <v>138</v>
      </c>
      <c r="I20" s="29" t="s">
        <v>138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29" t="s">
        <v>171</v>
      </c>
      <c r="U20" s="7"/>
      <c r="V20" s="8" t="s">
        <v>14</v>
      </c>
      <c r="W20" s="29" t="s">
        <v>165</v>
      </c>
      <c r="X20" s="7" t="s">
        <v>51</v>
      </c>
    </row>
    <row r="21" spans="1:24" ht="39.75" customHeight="1" x14ac:dyDescent="0.25">
      <c r="A21" s="6">
        <v>11</v>
      </c>
      <c r="B21" s="28" t="s">
        <v>137</v>
      </c>
      <c r="C21" s="8" t="s">
        <v>11</v>
      </c>
      <c r="D21" s="8" t="s">
        <v>21</v>
      </c>
      <c r="E21" s="8" t="s">
        <v>13</v>
      </c>
      <c r="F21" s="29">
        <v>80</v>
      </c>
      <c r="G21" s="7" t="s">
        <v>15</v>
      </c>
      <c r="H21" s="29" t="s">
        <v>48</v>
      </c>
      <c r="I21" s="7" t="s">
        <v>48</v>
      </c>
      <c r="J21" s="8" t="s">
        <v>57</v>
      </c>
      <c r="K21" s="29" t="s">
        <v>146</v>
      </c>
      <c r="L21" s="8" t="s">
        <v>57</v>
      </c>
      <c r="M21" s="29" t="s">
        <v>147</v>
      </c>
      <c r="N21" s="8"/>
      <c r="O21" s="7"/>
      <c r="P21" s="8"/>
      <c r="Q21" s="7"/>
      <c r="R21" s="8"/>
      <c r="S21" s="7"/>
      <c r="T21" s="7" t="s">
        <v>182</v>
      </c>
      <c r="U21" s="7" t="s">
        <v>183</v>
      </c>
      <c r="V21" s="8" t="s">
        <v>31</v>
      </c>
      <c r="W21" s="29" t="s">
        <v>167</v>
      </c>
      <c r="X21" s="7" t="s">
        <v>51</v>
      </c>
    </row>
    <row r="22" spans="1:24" ht="39.75" customHeight="1" x14ac:dyDescent="0.25">
      <c r="A22" s="6">
        <v>12</v>
      </c>
      <c r="B22" s="27" t="s">
        <v>145</v>
      </c>
      <c r="C22" s="8" t="s">
        <v>11</v>
      </c>
      <c r="D22" s="8" t="s">
        <v>21</v>
      </c>
      <c r="E22" s="8" t="s">
        <v>13</v>
      </c>
      <c r="F22" s="7">
        <v>120</v>
      </c>
      <c r="G22" s="7" t="s">
        <v>148</v>
      </c>
      <c r="H22" s="7" t="s">
        <v>149</v>
      </c>
      <c r="I22" s="7" t="s">
        <v>26</v>
      </c>
      <c r="J22" s="8" t="s">
        <v>126</v>
      </c>
      <c r="K22" s="7" t="s">
        <v>153</v>
      </c>
      <c r="L22" s="8"/>
      <c r="M22" s="7"/>
      <c r="N22" s="8"/>
      <c r="O22" s="7"/>
      <c r="P22" s="8"/>
      <c r="Q22" s="7"/>
      <c r="R22" s="8"/>
      <c r="S22" s="7"/>
      <c r="T22" s="7" t="s">
        <v>150</v>
      </c>
      <c r="U22" s="7" t="s">
        <v>151</v>
      </c>
      <c r="V22" s="8" t="s">
        <v>31</v>
      </c>
      <c r="W22" s="29" t="s">
        <v>152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15.75" customHeight="1" x14ac:dyDescent="0.25"/>
    <row r="25" spans="1:24" ht="15.75" customHeight="1" x14ac:dyDescent="0.25">
      <c r="A25" s="9" t="s">
        <v>103</v>
      </c>
    </row>
    <row r="26" spans="1:24" ht="15.75" customHeight="1" x14ac:dyDescent="0.25">
      <c r="A26" s="10" t="s">
        <v>104</v>
      </c>
      <c r="B26" s="34" t="e">
        <f ca="1">Выпадающий список(ТОЛЬКО из списка)</f>
        <v>#NAME?</v>
      </c>
      <c r="C26" s="35"/>
      <c r="D26" s="35"/>
      <c r="E26" s="35"/>
    </row>
    <row r="27" spans="1:24" ht="15.75" customHeight="1" x14ac:dyDescent="0.25">
      <c r="A27" s="11" t="s">
        <v>105</v>
      </c>
      <c r="B27" s="34" t="e">
        <f>Можно выбрать из списка ИЛИ написать своё</f>
        <v>#NAME?</v>
      </c>
      <c r="C27" s="35"/>
      <c r="D27" s="35"/>
      <c r="E27" s="35"/>
    </row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8">
    <mergeCell ref="B26:E26"/>
    <mergeCell ref="B27:E27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Справочники!$I$2:$I$7</xm:f>
          </x14:formula1>
          <xm:sqref>I11:I20 I22:I23</xm:sqref>
        </x14:dataValidation>
        <x14:dataValidation type="list" allowBlank="1" xr:uid="{00000000-0002-0000-0100-000001000000}">
          <x14:formula1>
            <xm:f>Справочники!$A$2:$A$13</xm:f>
          </x14:formula1>
          <xm:sqref>C4</xm:sqref>
        </x14:dataValidation>
        <x14:dataValidation type="list" allowBlank="1" xr:uid="{00000000-0002-0000-0100-000002000000}">
          <x14:formula1>
            <xm:f>Справочники!$B$2:$B$44</xm:f>
          </x14:formula1>
          <xm:sqref>C5 R11:R23 P11:P23 N11:N23 J11:J23 L11:L23</xm:sqref>
        </x14:dataValidation>
        <x14:dataValidation type="list" allowBlank="1" xr:uid="{00000000-0002-0000-0100-000003000000}">
          <x14:formula1>
            <xm:f>Справочники!$H$2:$H$7</xm:f>
          </x14:formula1>
          <xm:sqref>I21 H11:H23</xm:sqref>
        </x14:dataValidation>
        <x14:dataValidation type="list" allowBlank="1" xr:uid="{00000000-0002-0000-0100-000004000000}">
          <x14:formula1>
            <xm:f>Справочники!$E$2:$E$6</xm:f>
          </x14:formula1>
          <xm:sqref>E11:E23</xm:sqref>
        </x14:dataValidation>
        <x14:dataValidation type="list" allowBlank="1" xr:uid="{00000000-0002-0000-0100-000005000000}">
          <x14:formula1>
            <xm:f>Справочники!$G$2:$G$6</xm:f>
          </x14:formula1>
          <xm:sqref>G11:G23</xm:sqref>
        </x14:dataValidation>
        <x14:dataValidation type="list" allowBlank="1" xr:uid="{00000000-0002-0000-0100-000006000000}">
          <x14:formula1>
            <xm:f>Справочники!$F$2:$F$4</xm:f>
          </x14:formula1>
          <xm:sqref>V11:V23</xm:sqref>
        </x14:dataValidation>
        <x14:dataValidation type="list" allowBlank="1" xr:uid="{00000000-0002-0000-0100-000007000000}">
          <x14:formula1>
            <xm:f>Справочники!$D$2:$D$5</xm:f>
          </x14:formula1>
          <xm:sqref>D11:D23</xm:sqref>
        </x14:dataValidation>
        <x14:dataValidation type="list" allowBlank="1" xr:uid="{00000000-0002-0000-0100-000008000000}">
          <x14:formula1>
            <xm:f>Справочники!$C$2:$C$3</xm:f>
          </x14:formula1>
          <xm:sqref>C11:C23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W11:W23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2026-01-26T07:48:39Z</dcterms:modified>
</cp:coreProperties>
</file>