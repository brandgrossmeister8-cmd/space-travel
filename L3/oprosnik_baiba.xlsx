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61C1F20-577E-4FFF-97D7-A75B81E5EC9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0" i="2" l="1"/>
  <c r="B29" i="2"/>
</calcChain>
</file>

<file path=xl/sharedStrings.xml><?xml version="1.0" encoding="utf-8"?>
<sst xmlns="http://schemas.openxmlformats.org/spreadsheetml/2006/main" count="329" uniqueCount="183">
  <si>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</si>
  <si>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</si>
  <si>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</si>
  <si>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</si>
  <si>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</si>
  <si>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</si>
  <si>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</si>
  <si>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</si>
  <si>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</si>
  <si>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</si>
  <si>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</si>
  <si>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</si>
  <si>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</si>
  <si>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</si>
  <si>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</si>
  <si>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</si>
  <si>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</si>
  <si>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</si>
  <si>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</si>
  <si>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</si>
  <si>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</si>
  <si>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</si>
  <si>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</si>
  <si>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</si>
  <si>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</si>
  <si>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</si>
  <si>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</si>
  <si>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</si>
  <si>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</si>
  <si>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</si>
  <si>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</si>
  <si>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</si>
  <si>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</si>
  <si>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</si>
  <si>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</si>
  <si>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</si>
  <si>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</si>
  <si>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</si>
  <si>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</si>
  <si>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</si>
  <si>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</si>
  <si>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</si>
  <si>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</si>
  <si>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</si>
  <si>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</si>
  <si>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</si>
  <si>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</si>
  <si>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</si>
  <si>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</si>
  <si>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</si>
  <si>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</si>
  <si>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</si>
  <si>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</si>
  <si>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</si>
  <si>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</si>
  <si>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</si>
  <si>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</si>
  <si>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</si>
  <si>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</si>
  <si>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</si>
  <si>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</si>
  <si>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</si>
  <si>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</si>
  <si>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</si>
  <si>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</si>
  <si>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</si>
  <si>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</si>
  <si>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</si>
  <si>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</si>
  <si>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</si>
  <si>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</si>
  <si>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</si>
  <si>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</si>
  <si>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</si>
  <si>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</si>
  <si>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</si>
  <si>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</si>
  <si>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</si>
  <si>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</si>
  <si>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</si>
  <si>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</si>
  <si>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</si>
  <si>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</si>
  <si>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</si>
  <si>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</si>
  <si>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</si>
  <si>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</si>
  <si>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</si>
  <si>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</si>
  <si>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</si>
  <si>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</si>
  <si>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</si>
  <si>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</si>
  <si>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</si>
  <si>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</si>
  <si>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</si>
  <si>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</si>
  <si>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</si>
  <si>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</si>
  <si>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</si>
  <si>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</si>
  <si>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</si>
  <si>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</si>
  <si>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</si>
  <si>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</si>
  <si>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</si>
  <si>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</si>
  <si>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</si>
  <si>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</si>
  <si>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</si>
  <si>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</si>
  <si>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</si>
  <si>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</si>
  <si>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</si>
  <si>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</si>
  <si>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</si>
  <si>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</si>
  <si>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</si>
  <si>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</si>
  <si>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</si>
  <si>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</si>
  <si>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</si>
  <si>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</si>
  <si>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</si>
  <si>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</si>
  <si>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</si>
  <si>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</si>
  <si>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</si>
  <si>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</si>
  <si>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</si>
  <si>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</si>
  <si>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</si>
  <si>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</si>
  <si>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</si>
  <si>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</si>
  <si>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</si>
  <si>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транспортного отдела</t>
  </si>
  <si>
    <t>Ручной ввод данных/выписываю вручную/выписываю авто-выпиской</t>
  </si>
  <si>
    <t>Отсутствие рейсов/мест</t>
  </si>
  <si>
    <t>Получаем запросы на бронирование+доп. Услуги</t>
  </si>
  <si>
    <t>Получаем запросы на перебронирование</t>
  </si>
  <si>
    <t xml:space="preserve">Ручной ввод данных/бронирую вручную       </t>
  </si>
  <si>
    <t>Получаем запросы на выписку+доп. Услуги</t>
  </si>
  <si>
    <t>Другое/Изменение стоимости тарифа/аннуляция брони до факт. тайм-лимита</t>
  </si>
  <si>
    <t>Внесение отнимаетдоп. Время</t>
  </si>
  <si>
    <t>Ручной ввод данных/Занимает доп. Время</t>
  </si>
  <si>
    <t>Занимает доп. Время</t>
  </si>
  <si>
    <t>Расчет и оформление обменов/возвратов</t>
  </si>
  <si>
    <t>Получаем запросы на обмен/возврат. Длеаем расчет и дальнейшее оформление</t>
  </si>
  <si>
    <t>Расчет и оформление доп.услуг</t>
  </si>
  <si>
    <t>Технические проблемы/Запросы в системах бронирования напрямую или через запрос поставщикам и а/компаниям</t>
  </si>
  <si>
    <t>Получаем запросы на доп. услуги. Делаем/отправляем  запрос на расчет и дальнейшее оформление</t>
  </si>
  <si>
    <t>Освобождение времени для важных задач/за счет автоматизации/снижение стресса.</t>
  </si>
  <si>
    <t>Сокращение времени выполнения/за счет автоматизации</t>
  </si>
  <si>
    <t>Другое/потеря времени</t>
  </si>
  <si>
    <t>Снижение количества ошибок/за счет автоматизации/сокращение времени выполнения</t>
  </si>
  <si>
    <t>Повышение качества обслуживания клиентов/при автоматизации обработка запросов будет быстрее и эффективнее</t>
  </si>
  <si>
    <t>Снижение количества ошибок/снижение стресса</t>
  </si>
  <si>
    <t>Другое/избежание ошибок в стрессовых ситуациях</t>
  </si>
  <si>
    <t>Рассылка об изменениях в бронированиях</t>
  </si>
  <si>
    <t>Другое/трата времени</t>
  </si>
  <si>
    <t>Отправка уведомлений и переоформление новых билетов с учетом изменений времени вылетов</t>
  </si>
  <si>
    <t>Снижение количества ошибок/своевременное уведомление об изменениях</t>
  </si>
  <si>
    <t>Другое/При несвоевременном уведомлении риск возникновении проблем у пассажиров</t>
  </si>
  <si>
    <t>Другое/отсутствие мест и тарифов</t>
  </si>
  <si>
    <t>Другое/снятие брони авиакомпанией до наступления тайм-лимита</t>
  </si>
  <si>
    <t>Другое/избежание ошибок</t>
  </si>
  <si>
    <t>Бронирование  билетов под туры/для агентств</t>
  </si>
  <si>
    <t>Перебронь билетов под туры/для агентств</t>
  </si>
  <si>
    <t>Выписка билетов под туры/для агентств</t>
  </si>
  <si>
    <t>Подгрузка МК в заявки</t>
  </si>
  <si>
    <t>Внесение информации по выписанным, обмененным/возвратным билетам в таблицу</t>
  </si>
  <si>
    <t>Обработка запросов на почте</t>
  </si>
  <si>
    <t>почта, Само, собственные файлы</t>
  </si>
  <si>
    <t>системы бронированыя/сайты поставщиков</t>
  </si>
  <si>
    <t>почта, Само</t>
  </si>
  <si>
    <t>системы бронированыя</t>
  </si>
  <si>
    <t>Байба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</si>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</sst>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180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181</v>
      </c>
    </row>
    <row r="43" spans="1:2" ht="15.75" customHeight="1" x14ac:dyDescent="0.25">
      <c r="B43" t="s">
        <v>182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tabSelected="1" topLeftCell="I10" zoomScaleNormal="100" workbookViewId="0">
      <selection activeCell="N14" activeCellId="4" sqref="C5 L11:L26 R11:R26 J11:J26 N11:N26 P11:P26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71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167</v>
      </c>
      <c r="C11" s="14" t="s">
        <v>11</v>
      </c>
      <c r="D11" s="14" t="s">
        <v>21</v>
      </c>
      <c r="E11" s="15" t="s">
        <v>13</v>
      </c>
      <c r="F11" s="13">
        <v>100</v>
      </c>
      <c r="G11" s="7" t="s">
        <v>141</v>
      </c>
      <c r="H11" s="7" t="s">
        <v>47</v>
      </c>
      <c r="I11" s="7" t="s">
        <v>138</v>
      </c>
      <c r="J11" s="8" t="s">
        <v>52</v>
      </c>
      <c r="K11" s="7" t="s">
        <v>139</v>
      </c>
      <c r="L11" s="8" t="s">
        <v>118</v>
      </c>
      <c r="M11" s="7" t="s">
        <v>139</v>
      </c>
      <c r="N11" s="8" t="s">
        <v>116</v>
      </c>
      <c r="O11" s="7" t="s">
        <v>139</v>
      </c>
      <c r="P11" s="8" t="s">
        <v>62</v>
      </c>
      <c r="Q11" s="7" t="s">
        <v>139</v>
      </c>
      <c r="R11" s="8"/>
      <c r="S11" s="7"/>
      <c r="T11" s="7" t="s">
        <v>173</v>
      </c>
      <c r="U11" s="7" t="s">
        <v>174</v>
      </c>
      <c r="V11" s="8" t="s">
        <v>31</v>
      </c>
      <c r="W11" s="7" t="s">
        <v>152</v>
      </c>
      <c r="X11" s="7" t="s">
        <v>19</v>
      </c>
    </row>
    <row r="12" spans="1:26" ht="39.75" customHeight="1" x14ac:dyDescent="0.25">
      <c r="A12" s="6">
        <v>2</v>
      </c>
      <c r="B12" s="7" t="s">
        <v>168</v>
      </c>
      <c r="C12" s="8" t="s">
        <v>11</v>
      </c>
      <c r="D12" s="8" t="s">
        <v>21</v>
      </c>
      <c r="E12" s="8" t="s">
        <v>13</v>
      </c>
      <c r="F12" s="7">
        <v>100</v>
      </c>
      <c r="G12" s="7" t="s">
        <v>15</v>
      </c>
      <c r="H12" s="7" t="s">
        <v>164</v>
      </c>
      <c r="I12" s="7" t="s">
        <v>138</v>
      </c>
      <c r="J12" s="8" t="s">
        <v>52</v>
      </c>
      <c r="K12" s="7" t="s">
        <v>140</v>
      </c>
      <c r="L12" s="8" t="s">
        <v>118</v>
      </c>
      <c r="M12" s="7" t="s">
        <v>140</v>
      </c>
      <c r="N12" s="8" t="s">
        <v>116</v>
      </c>
      <c r="O12" s="7" t="s">
        <v>140</v>
      </c>
      <c r="P12" s="8" t="s">
        <v>62</v>
      </c>
      <c r="Q12" s="7" t="s">
        <v>140</v>
      </c>
      <c r="R12" s="8"/>
      <c r="S12" s="7"/>
      <c r="T12" s="7" t="s">
        <v>173</v>
      </c>
      <c r="U12" s="7" t="s">
        <v>174</v>
      </c>
      <c r="V12" s="8" t="s">
        <v>31</v>
      </c>
      <c r="W12" s="7" t="s">
        <v>153</v>
      </c>
      <c r="X12" s="7" t="s">
        <v>154</v>
      </c>
    </row>
    <row r="13" spans="1:26" ht="39.75" customHeight="1" x14ac:dyDescent="0.25">
      <c r="A13" s="6">
        <v>3</v>
      </c>
      <c r="B13" s="7" t="s">
        <v>169</v>
      </c>
      <c r="C13" s="8" t="s">
        <v>11</v>
      </c>
      <c r="D13" s="8" t="s">
        <v>21</v>
      </c>
      <c r="E13" s="8" t="s">
        <v>13</v>
      </c>
      <c r="F13" s="7">
        <v>40</v>
      </c>
      <c r="G13" s="7" t="s">
        <v>137</v>
      </c>
      <c r="H13" s="7" t="s">
        <v>165</v>
      </c>
      <c r="I13" s="7" t="s">
        <v>143</v>
      </c>
      <c r="J13" s="8" t="s">
        <v>52</v>
      </c>
      <c r="K13" s="7" t="s">
        <v>142</v>
      </c>
      <c r="L13" s="8" t="s">
        <v>118</v>
      </c>
      <c r="M13" s="7" t="s">
        <v>142</v>
      </c>
      <c r="N13" s="8" t="s">
        <v>116</v>
      </c>
      <c r="O13" s="7" t="s">
        <v>142</v>
      </c>
      <c r="P13" s="8" t="s">
        <v>62</v>
      </c>
      <c r="Q13" s="7" t="s">
        <v>142</v>
      </c>
      <c r="R13" s="8"/>
      <c r="S13" s="7"/>
      <c r="T13" s="7" t="s">
        <v>173</v>
      </c>
      <c r="U13" s="7" t="s">
        <v>174</v>
      </c>
      <c r="V13" s="8" t="s">
        <v>31</v>
      </c>
      <c r="W13" s="7" t="s">
        <v>155</v>
      </c>
      <c r="X13" s="7" t="s">
        <v>154</v>
      </c>
    </row>
    <row r="14" spans="1:26" ht="39.75" customHeight="1" x14ac:dyDescent="0.25">
      <c r="A14" s="6">
        <v>4</v>
      </c>
      <c r="B14" s="7" t="s">
        <v>170</v>
      </c>
      <c r="C14" s="8" t="s">
        <v>11</v>
      </c>
      <c r="D14" s="8" t="s">
        <v>21</v>
      </c>
      <c r="E14" s="8" t="s">
        <v>13</v>
      </c>
      <c r="F14" s="7">
        <v>40</v>
      </c>
      <c r="G14" s="7" t="s">
        <v>145</v>
      </c>
      <c r="H14" s="7" t="s">
        <v>47</v>
      </c>
      <c r="I14" s="7" t="s">
        <v>146</v>
      </c>
      <c r="J14" s="8" t="s">
        <v>52</v>
      </c>
      <c r="K14" s="7"/>
      <c r="L14" s="8" t="s">
        <v>118</v>
      </c>
      <c r="M14" s="7"/>
      <c r="N14" s="8" t="s">
        <v>116</v>
      </c>
      <c r="O14" s="7"/>
      <c r="P14" s="8" t="s">
        <v>62</v>
      </c>
      <c r="Q14" s="7"/>
      <c r="R14" s="8"/>
      <c r="S14" s="7"/>
      <c r="T14" s="7" t="s">
        <v>173</v>
      </c>
      <c r="U14" s="7" t="s">
        <v>174</v>
      </c>
      <c r="V14" s="8" t="s">
        <v>23</v>
      </c>
      <c r="W14" s="7" t="s">
        <v>153</v>
      </c>
      <c r="X14" s="7" t="s">
        <v>154</v>
      </c>
    </row>
    <row r="15" spans="1:26" ht="45.75" customHeight="1" x14ac:dyDescent="0.25">
      <c r="A15" s="6">
        <v>5</v>
      </c>
      <c r="B15" s="7" t="s">
        <v>171</v>
      </c>
      <c r="C15" s="8" t="s">
        <v>11</v>
      </c>
      <c r="D15" s="8" t="s">
        <v>21</v>
      </c>
      <c r="E15" s="8" t="s">
        <v>13</v>
      </c>
      <c r="F15" s="7">
        <v>50</v>
      </c>
      <c r="G15" s="7" t="s">
        <v>145</v>
      </c>
      <c r="H15" s="7" t="s">
        <v>47</v>
      </c>
      <c r="I15" s="7" t="s">
        <v>144</v>
      </c>
      <c r="J15" s="8" t="s">
        <v>52</v>
      </c>
      <c r="K15" s="7"/>
      <c r="L15" s="8" t="s">
        <v>118</v>
      </c>
      <c r="M15" s="7"/>
      <c r="N15" s="8" t="s">
        <v>116</v>
      </c>
      <c r="O15" s="7"/>
      <c r="P15" s="8" t="s">
        <v>62</v>
      </c>
      <c r="Q15" s="7"/>
      <c r="R15" s="8"/>
      <c r="S15" s="7"/>
      <c r="T15" s="7" t="s">
        <v>173</v>
      </c>
      <c r="U15" s="7" t="s">
        <v>174</v>
      </c>
      <c r="V15" s="8" t="s">
        <v>23</v>
      </c>
      <c r="W15" s="7" t="s">
        <v>153</v>
      </c>
      <c r="X15" s="7" t="s">
        <v>154</v>
      </c>
    </row>
    <row r="16" spans="1:26" ht="39.75" customHeight="1" x14ac:dyDescent="0.25">
      <c r="A16" s="6">
        <v>6</v>
      </c>
      <c r="B16" s="7" t="s">
        <v>172</v>
      </c>
      <c r="C16" s="8" t="s">
        <v>11</v>
      </c>
      <c r="D16" s="8" t="s">
        <v>21</v>
      </c>
      <c r="E16" s="8" t="s">
        <v>13</v>
      </c>
      <c r="F16" s="7">
        <v>60</v>
      </c>
      <c r="G16" s="7" t="s">
        <v>15</v>
      </c>
      <c r="H16" s="7" t="s">
        <v>47</v>
      </c>
      <c r="I16" s="7" t="s">
        <v>17</v>
      </c>
      <c r="J16" s="8" t="s">
        <v>52</v>
      </c>
      <c r="K16" s="7"/>
      <c r="L16" s="8" t="s">
        <v>118</v>
      </c>
      <c r="M16" s="7"/>
      <c r="N16" s="8" t="s">
        <v>116</v>
      </c>
      <c r="O16" s="7"/>
      <c r="P16" s="8" t="s">
        <v>62</v>
      </c>
      <c r="Q16" s="7"/>
      <c r="R16" s="8"/>
      <c r="S16" s="7"/>
      <c r="T16" s="7" t="s">
        <v>173</v>
      </c>
      <c r="U16" s="7" t="s">
        <v>174</v>
      </c>
      <c r="V16" s="8" t="s">
        <v>31</v>
      </c>
      <c r="W16" s="7" t="s">
        <v>156</v>
      </c>
      <c r="X16" s="7" t="s">
        <v>51</v>
      </c>
    </row>
    <row r="17" spans="1:24" ht="39.75" customHeight="1" x14ac:dyDescent="0.25">
      <c r="A17" s="6">
        <v>7</v>
      </c>
      <c r="B17" s="7" t="s">
        <v>147</v>
      </c>
      <c r="C17" s="8" t="s">
        <v>11</v>
      </c>
      <c r="D17" s="8" t="s">
        <v>21</v>
      </c>
      <c r="E17" s="8" t="s">
        <v>46</v>
      </c>
      <c r="F17" s="7">
        <v>120</v>
      </c>
      <c r="G17" s="7" t="s">
        <v>15</v>
      </c>
      <c r="H17" s="7" t="s">
        <v>166</v>
      </c>
      <c r="I17" s="7" t="s">
        <v>34</v>
      </c>
      <c r="J17" s="8" t="s">
        <v>52</v>
      </c>
      <c r="K17" s="7" t="s">
        <v>148</v>
      </c>
      <c r="L17" s="8" t="s">
        <v>118</v>
      </c>
      <c r="M17" s="7" t="s">
        <v>148</v>
      </c>
      <c r="N17" s="8" t="s">
        <v>116</v>
      </c>
      <c r="O17" s="7" t="s">
        <v>148</v>
      </c>
      <c r="P17" s="8" t="s">
        <v>62</v>
      </c>
      <c r="Q17" s="7" t="s">
        <v>148</v>
      </c>
      <c r="R17" s="8"/>
      <c r="S17" s="7"/>
      <c r="T17" s="7" t="s">
        <v>173</v>
      </c>
      <c r="U17" s="7" t="s">
        <v>174</v>
      </c>
      <c r="V17" s="8" t="s">
        <v>31</v>
      </c>
      <c r="W17" s="7" t="s">
        <v>157</v>
      </c>
      <c r="X17" s="7" t="s">
        <v>158</v>
      </c>
    </row>
    <row r="18" spans="1:24" ht="39.75" customHeight="1" x14ac:dyDescent="0.25">
      <c r="A18" s="6">
        <v>8</v>
      </c>
      <c r="B18" s="7" t="s">
        <v>149</v>
      </c>
      <c r="C18" s="8" t="s">
        <v>11</v>
      </c>
      <c r="D18" s="8" t="s">
        <v>21</v>
      </c>
      <c r="E18" s="8" t="s">
        <v>13</v>
      </c>
      <c r="F18" s="7">
        <v>90</v>
      </c>
      <c r="G18" s="7" t="s">
        <v>15</v>
      </c>
      <c r="H18" s="7" t="s">
        <v>47</v>
      </c>
      <c r="I18" s="7" t="s">
        <v>150</v>
      </c>
      <c r="J18" s="8" t="s">
        <v>52</v>
      </c>
      <c r="K18" s="7" t="s">
        <v>151</v>
      </c>
      <c r="L18" s="8" t="s">
        <v>118</v>
      </c>
      <c r="M18" s="7" t="s">
        <v>151</v>
      </c>
      <c r="N18" s="8" t="s">
        <v>116</v>
      </c>
      <c r="O18" s="7" t="s">
        <v>151</v>
      </c>
      <c r="P18" s="8" t="s">
        <v>62</v>
      </c>
      <c r="Q18" s="7"/>
      <c r="R18" s="8"/>
      <c r="S18" s="7"/>
      <c r="T18" s="7" t="s">
        <v>173</v>
      </c>
      <c r="U18" s="7" t="s">
        <v>174</v>
      </c>
      <c r="V18" s="8" t="s">
        <v>31</v>
      </c>
      <c r="W18" s="7" t="s">
        <v>43</v>
      </c>
      <c r="X18" s="7" t="s">
        <v>51</v>
      </c>
    </row>
    <row r="19" spans="1:24" ht="39.75" customHeight="1" x14ac:dyDescent="0.25">
      <c r="A19" s="6">
        <v>9</v>
      </c>
      <c r="B19" s="7" t="s">
        <v>159</v>
      </c>
      <c r="C19" s="8" t="s">
        <v>11</v>
      </c>
      <c r="D19" s="8" t="s">
        <v>21</v>
      </c>
      <c r="E19" s="8" t="s">
        <v>22</v>
      </c>
      <c r="F19" s="7">
        <v>60</v>
      </c>
      <c r="G19" s="7" t="s">
        <v>15</v>
      </c>
      <c r="H19" s="7" t="s">
        <v>47</v>
      </c>
      <c r="I19" s="7" t="s">
        <v>160</v>
      </c>
      <c r="J19" s="8" t="s">
        <v>52</v>
      </c>
      <c r="K19" s="7" t="s">
        <v>161</v>
      </c>
      <c r="L19" s="8" t="s">
        <v>118</v>
      </c>
      <c r="M19" s="7" t="s">
        <v>161</v>
      </c>
      <c r="N19" s="8" t="s">
        <v>116</v>
      </c>
      <c r="O19" s="7" t="s">
        <v>161</v>
      </c>
      <c r="P19" s="8" t="s">
        <v>62</v>
      </c>
      <c r="Q19" s="7" t="s">
        <v>161</v>
      </c>
      <c r="R19" s="8"/>
      <c r="S19" s="7"/>
      <c r="T19" s="7" t="s">
        <v>175</v>
      </c>
      <c r="U19" s="7" t="s">
        <v>176</v>
      </c>
      <c r="V19" s="8" t="s">
        <v>31</v>
      </c>
      <c r="W19" s="7" t="s">
        <v>162</v>
      </c>
      <c r="X19" s="7" t="s">
        <v>163</v>
      </c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14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39.75" customHeight="1" x14ac:dyDescent="0.25">
      <c r="A26" s="6">
        <v>15</v>
      </c>
      <c r="B26" s="7"/>
      <c r="C26" s="8"/>
      <c r="D26" s="8"/>
      <c r="E26" s="8"/>
      <c r="F26" s="7"/>
      <c r="G26" s="7"/>
      <c r="H26" s="7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7"/>
      <c r="U26" s="7"/>
      <c r="V26" s="8"/>
      <c r="W26" s="7"/>
      <c r="X26" s="7"/>
    </row>
    <row r="27" spans="1:24" ht="15.75" customHeight="1" x14ac:dyDescent="0.25"/>
    <row r="28" spans="1:24" ht="15.75" customHeight="1" x14ac:dyDescent="0.25">
      <c r="A28" s="9" t="s">
        <v>103</v>
      </c>
    </row>
    <row r="29" spans="1:24" ht="15.75" customHeight="1" x14ac:dyDescent="0.25">
      <c r="A29" s="10" t="s">
        <v>104</v>
      </c>
      <c r="B29" s="29" t="e">
        <f ca="1">Выпадающий список(ТОЛЬКО из списка)</f>
        <v>#NAME?</v>
      </c>
      <c r="C29" s="30"/>
      <c r="D29" s="30"/>
      <c r="E29" s="30"/>
    </row>
    <row r="30" spans="1:24" ht="15.75" customHeight="1" x14ac:dyDescent="0.25">
      <c r="A30" s="11" t="s">
        <v>105</v>
      </c>
      <c r="B30" s="29" t="e">
        <f>Можно выбрать из списка ИЛИ написать своё</f>
        <v>#NAME?</v>
      </c>
      <c r="C30" s="30"/>
      <c r="D30" s="30"/>
      <c r="E30" s="30"/>
    </row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8">
    <mergeCell ref="B29:E29"/>
    <mergeCell ref="B30:E30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E11:E26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G11:G26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V11:V26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I11:I26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D11:D26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C11:C26</xm:sqref>
        </x14:dataValidation>
        <x14:dataValidation type="list" allowBlank="1" xr:uid="{00000000-0002-0000-0100-000006000000}">
          <x14:formula1>
            <xm:f>Справочники!$B$2:$B$44</xm:f>
          </x14:formula1>
          <xm:sqref>C5 L11:L26 R11:R26 J11:J26 N11:N26 P11:P26</xm:sqref>
        </x14:dataValidation>
        <x14:dataValidation type="list" allowBlank="1" xr:uid="{00000000-0002-0000-0100-000007000000}">
          <x14:formula1>
            <xm:f>Справочники!$H$2:$H$7</xm:f>
          </x14:formula1>
          <xm:sqref>H11:H26</xm:sqref>
        </x14:dataValidation>
        <x14:dataValidation type="list" allowBlank="1" xr:uid="{00000000-0002-0000-0100-000008000000}">
          <x14:formula1>
            <xm:f>Справочники!$J$2:$J$8</xm:f>
          </x14:formula1>
          <xm:sqref>W11:W26</xm:sqref>
        </x14:dataValidation>
        <x14:dataValidation type="list" allowBlank="1" xr:uid="{00000000-0002-0000-0100-000009000000}">
          <x14:formula1>
            <xm:f>Справочники!$K$2:$K$7</xm:f>
          </x14:formula1>
          <xm:sqref>X11:X26</xm:sqref>
        </x14:dataValidation>
        <x14:dataValidation type="list" allowBlank="1" xr:uid="{00000000-0002-0000-0100-00000A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2026-01-26T07:47:14Z</dcterms:modified>
</cp:coreProperties>
</file>