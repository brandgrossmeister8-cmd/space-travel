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lineo\OneDrive\Desktop\Новая папка (3)\"/>
    </mc:Choice>
  </mc:AlternateContent>
  <xr:revisionPtr revIDLastSave="0" documentId="13_ncr:1_{3E2B99E6-D2ED-4270-900B-72C2B48FBF70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Справочники" sheetId="1" r:id="rId1"/>
    <sheet name="ШАБЛОН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wL3GsrNzf3Ml5vfv6VC+AHKHkiSu3m0ubyksZ1X6ZxM="/>
    </ext>
  </extLst>
</workbook>
</file>

<file path=xl/calcChain.xml><?xml version="1.0" encoding="utf-8"?>
<calcChain xmlns="http://schemas.openxmlformats.org/spreadsheetml/2006/main">
  <c r="B29" i="2" l="1"/>
  <c r="B28" i="2"/>
</calcChain>
</file>

<file path=xl/sharedStrings.xml><?xml version="1.0" encoding="utf-8"?>
<sst xmlns="http://schemas.openxmlformats.org/spreadsheetml/2006/main" count="235" uniqueCount="171">
  <si>
    <t>ДЕПАРТАМЕНТЫ</t>
  </si>
  <si>
    <t>ОТДЕЛЫ</t>
  </si>
  <si>
    <t>Тип задачи</t>
  </si>
  <si>
    <t>Уровень рутинности</t>
  </si>
  <si>
    <t>Регулярность</t>
  </si>
  <si>
    <t>Приоритет автоматизации</t>
  </si>
  <si>
    <t>Характер задачи (подсказка)</t>
  </si>
  <si>
    <t>Проблема (подсказка)</t>
  </si>
  <si>
    <t>Причина проблемы (подсказка)</t>
  </si>
  <si>
    <t>Ожидаемые результаты (подсказка)</t>
  </si>
  <si>
    <t>Риски (подсказка)</t>
  </si>
  <si>
    <t>Рутинная задача</t>
  </si>
  <si>
    <t>Очень высокий</t>
  </si>
  <si>
    <t>Ежедневно</t>
  </si>
  <si>
    <t>1</t>
  </si>
  <si>
    <t>Ручной ввод данных</t>
  </si>
  <si>
    <t>Не успеваете</t>
  </si>
  <si>
    <t>Нехватка времени</t>
  </si>
  <si>
    <t>Сокращение времени выполнения</t>
  </si>
  <si>
    <t>Снижение качества</t>
  </si>
  <si>
    <t>Проблемная задача</t>
  </si>
  <si>
    <t>Высокий</t>
  </si>
  <si>
    <t>Еженедельно</t>
  </si>
  <si>
    <t>2</t>
  </si>
  <si>
    <t>Обработка текстов</t>
  </si>
  <si>
    <t>Пропускаете</t>
  </si>
  <si>
    <t>Отсутствие информации</t>
  </si>
  <si>
    <t>Снижение количества ошибок</t>
  </si>
  <si>
    <t>Утечка данных</t>
  </si>
  <si>
    <t>Средний</t>
  </si>
  <si>
    <t>Ежемесячно</t>
  </si>
  <si>
    <t>3</t>
  </si>
  <si>
    <t>Обработка изображений</t>
  </si>
  <si>
    <t>Забываете</t>
  </si>
  <si>
    <t>Сложность задачи</t>
  </si>
  <si>
    <t>Освобождение времени для важных задач</t>
  </si>
  <si>
    <t>Сложность настройки</t>
  </si>
  <si>
    <t>Группа визового сопровождения</t>
  </si>
  <si>
    <t>Низкий</t>
  </si>
  <si>
    <t>Ежеквартально</t>
  </si>
  <si>
    <t>Обработка голосовой информации</t>
  </si>
  <si>
    <t>Не дают информацию вовремя</t>
  </si>
  <si>
    <t>Зависимость от других отделов</t>
  </si>
  <si>
    <t>Повышение качества обслуживания клиентов</t>
  </si>
  <si>
    <t>Потеря контроля</t>
  </si>
  <si>
    <t>Отдел бизнес-тревел</t>
  </si>
  <si>
    <t>По запросу</t>
  </si>
  <si>
    <t>Другое</t>
  </si>
  <si>
    <t>Трудно получить информацию</t>
  </si>
  <si>
    <t>Технические проблемы</t>
  </si>
  <si>
    <t>Упрощение коммуникаций</t>
  </si>
  <si>
    <t>Нет рисков</t>
  </si>
  <si>
    <t>Отдел бронирования</t>
  </si>
  <si>
    <t>Снижение стресса</t>
  </si>
  <si>
    <t>Отдел группового бронирования</t>
  </si>
  <si>
    <t>Отдел клиентской поддержки</t>
  </si>
  <si>
    <t>Департамент информационных технологий</t>
  </si>
  <si>
    <t>Отдел контент-маркетинга</t>
  </si>
  <si>
    <t>Отдел маркетинга</t>
  </si>
  <si>
    <t>Администрация</t>
  </si>
  <si>
    <t>Отдел по работе с ключевыми клиентами</t>
  </si>
  <si>
    <t>Отдел рекламы</t>
  </si>
  <si>
    <t>Отдел MICE</t>
  </si>
  <si>
    <t>Офис г. Екатеринбург</t>
  </si>
  <si>
    <t>Офис г. Казань</t>
  </si>
  <si>
    <t>Офис г. Краснодар</t>
  </si>
  <si>
    <t>Офис г. Новосибирск</t>
  </si>
  <si>
    <t>Офис г. Пятигорск</t>
  </si>
  <si>
    <t>Офис г. Самара</t>
  </si>
  <si>
    <t>Офис г. Санкт-Петербург</t>
  </si>
  <si>
    <t>Офис г. Хабаровск</t>
  </si>
  <si>
    <t>Транспортный отдел</t>
  </si>
  <si>
    <t>Чартерная группа</t>
  </si>
  <si>
    <t>Travelluxe (Казахстан)</t>
  </si>
  <si>
    <t>ОПРОСНИК: Анализ задач для автоматизации</t>
  </si>
  <si>
    <t>ФИО:</t>
  </si>
  <si>
    <t>Департамент (список):</t>
  </si>
  <si>
    <t>Отдел (список):</t>
  </si>
  <si>
    <t>Должность (свой текст):</t>
  </si>
  <si>
    <t>ВАШИ ЗАДАЧИ (минимум 5). Голубые = только список, Желтые = свой текст или список</t>
  </si>
  <si>
    <t>№</t>
  </si>
  <si>
    <t>Название
задачи</t>
  </si>
  <si>
    <t>Тип задачи
ТОЛЬКО список</t>
  </si>
  <si>
    <t>Уровень
рутинности
ТОЛЬКО список</t>
  </si>
  <si>
    <t>Регулярность
ТОЛЬКО список</t>
  </si>
  <si>
    <t>Характер
задачи
список+своё</t>
  </si>
  <si>
    <t>Проблема
список+своё</t>
  </si>
  <si>
    <t>Причина
проблемы
список+своё</t>
  </si>
  <si>
    <t>Взаимо-
действие 1
(отдел)</t>
  </si>
  <si>
    <t>Описание
взаимодействия 1</t>
  </si>
  <si>
    <t>Взаимо-
действие 2
(отдел)</t>
  </si>
  <si>
    <t>Описание
взаимодействия 2</t>
  </si>
  <si>
    <t>Взаимо-
действие 3
(отдел)</t>
  </si>
  <si>
    <t>Описание
взаимодействия 3</t>
  </si>
  <si>
    <t>Взаимо-
действие 4
(отдел)</t>
  </si>
  <si>
    <t>Описание
взаимодействия 4</t>
  </si>
  <si>
    <t>Взаимо-
действие 5
(отдел)</t>
  </si>
  <si>
    <t>Описание
взаимодействия 5</t>
  </si>
  <si>
    <t>Внутренние
ресурсы</t>
  </si>
  <si>
    <t>Внешние
ресурсы</t>
  </si>
  <si>
    <t>Приоритет
ТОЛЬКО список</t>
  </si>
  <si>
    <t>Ожидаемые
результаты
список+своё</t>
  </si>
  <si>
    <t>Риски
список+своё</t>
  </si>
  <si>
    <t>ЛЕГЕНДА:</t>
  </si>
  <si>
    <t>🔵 Голубые ячейки</t>
  </si>
  <si>
    <t>🟨 Желтые ячейки</t>
  </si>
  <si>
    <t>Время
(только число!
 только в мин!)</t>
  </si>
  <si>
    <t>глагол + что делаю</t>
  </si>
  <si>
    <t>ТОЛЬКО список</t>
  </si>
  <si>
    <t>Описание логики взаимодействия</t>
  </si>
  <si>
    <r>
      <rPr>
        <b/>
        <sz val="11"/>
        <color rgb="FFFF0000"/>
        <rFont val="Calibri"/>
        <family val="2"/>
        <charset val="204"/>
        <scheme val="minor"/>
      </rPr>
      <t>Только число и только в минутах</t>
    </r>
    <r>
      <rPr>
        <b/>
        <sz val="11"/>
        <color rgb="FF000000"/>
        <rFont val="Calibri"/>
        <family val="2"/>
        <charset val="204"/>
        <scheme val="minor"/>
      </rPr>
      <t xml:space="preserve"> (например: 15, 60, 120 и т.д.)</t>
    </r>
  </si>
  <si>
    <t xml:space="preserve">1-Низкий 
2-Средний 
3-Высокий 
</t>
  </si>
  <si>
    <t>Примеч.</t>
  </si>
  <si>
    <t>Департамент развития взаимоотношений с агентствами</t>
  </si>
  <si>
    <t>Бухгалтерия</t>
  </si>
  <si>
    <t>Департамент по управлению операционными доходами</t>
  </si>
  <si>
    <t>ВИП отдел</t>
  </si>
  <si>
    <t>Департамент въездного туризма, MICE и корпоративного обслуживания</t>
  </si>
  <si>
    <t>Отдел продаж</t>
  </si>
  <si>
    <t xml:space="preserve">Операционный департамент </t>
  </si>
  <si>
    <r>
      <t>Департамент маркетинга и</t>
    </r>
    <r>
      <rPr>
        <sz val="11"/>
        <color rgb="FF000000"/>
        <rFont val="Calibri"/>
        <family val="2"/>
        <charset val="204"/>
      </rPr>
      <t xml:space="preserve"> рекламы</t>
    </r>
  </si>
  <si>
    <t>Отдел круглосуточной работы с клиентами</t>
  </si>
  <si>
    <t>ASM</t>
  </si>
  <si>
    <t>Группа стран «Ближний Восток»</t>
  </si>
  <si>
    <t>Группа стран «Экзотика»</t>
  </si>
  <si>
    <t>Группа стран FIT</t>
  </si>
  <si>
    <t>Группа тарификации</t>
  </si>
  <si>
    <t>Отдел въездного туризма</t>
  </si>
  <si>
    <t>Банковская группа</t>
  </si>
  <si>
    <t>Группа по расчетам с иностранными поставщиками</t>
  </si>
  <si>
    <t>Группа стран «ЮВА»</t>
  </si>
  <si>
    <t>Генеральный директор</t>
  </si>
  <si>
    <t>Первый ЗГД</t>
  </si>
  <si>
    <t>Управление клиентского сервиса</t>
  </si>
  <si>
    <t>Управление по развитию региональных офисов</t>
  </si>
  <si>
    <t>нет отделов</t>
  </si>
  <si>
    <t>Старший менеджер отдела продаж</t>
  </si>
  <si>
    <t>Консультирую агентов по всем направлениям</t>
  </si>
  <si>
    <t>Поиск информации об отеле, доп. местах для детей, стыковках, привилегиях. Консультация о правилах въезда, оплате, аннуляции, особенностях курорта</t>
  </si>
  <si>
    <t>Звоню или отправляю письмо об отсутствие информации, наличие ошибок, прошу дополнить и исправить</t>
  </si>
  <si>
    <t>Запрашиваю описание концепции, стоимость билетов, наличие стройки</t>
  </si>
  <si>
    <t>Папки менеджеры и ценообразование</t>
  </si>
  <si>
    <t xml:space="preserve">Интернет, сайты других туроператоров </t>
  </si>
  <si>
    <t>Описание отелей по всем странам, чётко прописанное доп место для детей, условия аннуляции, полное описание без сокращений перелёта и трансферов по ЮВА</t>
  </si>
  <si>
    <t>Обрабатываю заявки в онлайне</t>
  </si>
  <si>
    <t>Прошу настроить возможность отправлять письмо в отель сразу на правильный одрес отеля без поиска по списку, настроить шаблон приветствия и просьба подтвердить или дать опцию</t>
  </si>
  <si>
    <t xml:space="preserve">Поставить менеджера, отправить бронирование по почте в отель, найти в списке контактов почту, написать просьбу либо подтвердить либо взять на опцию номер, дождаться ответ, проверить инвойс,проставить подтверждение, либо проставить отказ, найти альтернативу , прописать агенту, проставить сроки оплаты </t>
  </si>
  <si>
    <t xml:space="preserve">Если после проверки счёта не сошлась стоимость, проверяем в отделом СПО и ищем кто допустил ошибку.Если ошибка тарифов объясняю ситуацию агенту мягко и прошу агента доплатить </t>
  </si>
  <si>
    <t>Выписываю билеты на регулярные рейсы</t>
  </si>
  <si>
    <t xml:space="preserve">Бронирую билеты, завожу в само,отслеживаю ТЛ по билетам, прошу взять новую опцию если билет "слетел",согласовываю доплату с агентом, прошу выписат, перепроверяю билеты </t>
  </si>
  <si>
    <t>Завожу вручную всю информацию по рейсам, отправляю информацию о бронировании на почту авиа, проставляю ТЛ и сумму, контролирую оплату от агента, прошу по почте выписать авиа отдел билеты, проверяю маршрутные квитанции</t>
  </si>
  <si>
    <t>Прошу коллег связаться с агентом, если не получилось самостоятельно, если небольшой тайм лимит и оплата нужна срочно</t>
  </si>
  <si>
    <t xml:space="preserve">Создание шаблона с авиарейсами, чтобы каждую букву, цифру и аэропорт не вбивать руками </t>
  </si>
  <si>
    <t xml:space="preserve">Расчитываю новые запросы для агентов </t>
  </si>
  <si>
    <t>Изучаю запрос, ищу необходимую информацию, расчитываю, сравниваю с конкурентами, отправляю готовый расчет агенту, вношу изменения, создаю заявку, заношу данные паспортов и услуг</t>
  </si>
  <si>
    <t>не успеваю, забываю, пропускаю</t>
  </si>
  <si>
    <t>Получаю запрос в Битрикс 24 и по почте</t>
  </si>
  <si>
    <t>Получаю запросы в whats up, макс, телеграмм</t>
  </si>
  <si>
    <t>Наш официальный сайт, папки менеджеры и ценообразование</t>
  </si>
  <si>
    <t>Интернет, переписка с партнерами, чаты с партнёрами в соц сетях</t>
  </si>
  <si>
    <t xml:space="preserve">Обрабатываю письма на почте по уже забронированным заявкам </t>
  </si>
  <si>
    <t xml:space="preserve">Вношу изменения в завку, отвечаю на текущие вопросы, аннулирую, добавляю услуги, меняю туристов </t>
  </si>
  <si>
    <t>Пишу письмо DMC, если срочно или нет долго ответа пишу в мессенджер, если нет ответа подключаю руководителя отдела продукта страны</t>
  </si>
  <si>
    <t xml:space="preserve">Прописываю жалобы относительно взаимодействия с партнёром </t>
  </si>
  <si>
    <t>Сайты DMC, чаты с партнёрами, электронная почта</t>
  </si>
  <si>
    <t>Некрылова</t>
  </si>
  <si>
    <t>Департамент HR</t>
  </si>
  <si>
    <t>Департамент финансов</t>
  </si>
  <si>
    <t>Группа по привлечению агенств</t>
  </si>
  <si>
    <t>Бухгалтерия группы компаний</t>
  </si>
  <si>
    <t>Финансовый отдел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</si>
</sst>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rgb="FFFFFFFF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4"/>
      <color rgb="FFFFFFFF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4"/>
      <color rgb="FF000000"/>
      <name val="Calibri"/>
      <family val="2"/>
      <charset val="204"/>
      <scheme val="minor"/>
    </font>
    <font>
      <sz val="14"/>
      <color rgb="FF00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11"/>
      <color rgb="FF00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0"/>
      <color theme="1"/>
      <name val="Times New Roman"/>
      <family val="1"/>
      <charset val="204"/>
    </font>
    <font>
      <sz val="11"/>
      <color rgb="FF000000"/>
      <name val="Calibri"/>
      <family val="2"/>
      <charset val="204"/>
    </font>
    <font>
      <sz val="11"/>
      <color rgb="FF18181B"/>
      <name val="Calibri"/>
      <family val="2"/>
      <charset val="204"/>
      <scheme val="minor"/>
    </font>
  </fonts>
  <fills count="8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  <fill>
      <patternFill patternType="solid">
        <fgColor rgb="FFDDEBF7"/>
        <bgColor rgb="FFDDEBF7"/>
      </patternFill>
    </fill>
    <fill>
      <patternFill patternType="solid">
        <fgColor rgb="FF5B9BD5"/>
        <bgColor rgb="FF5B9BD5"/>
      </patternFill>
    </fill>
    <fill>
      <patternFill patternType="solid">
        <fgColor theme="0"/>
        <bgColor rgb="FF5B9BD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3" fillId="2" borderId="1" xfId="0" applyFont="1" applyFill="1" applyBorder="1"/>
    <xf numFmtId="0" fontId="4" fillId="0" borderId="0" xfId="0" applyFont="1" applyAlignment="1">
      <alignment vertical="top" wrapText="1"/>
    </xf>
    <xf numFmtId="0" fontId="7" fillId="0" borderId="0" xfId="0" applyFont="1"/>
    <xf numFmtId="0" fontId="9" fillId="5" borderId="5" xfId="0" applyFont="1" applyFill="1" applyBorder="1" applyAlignment="1">
      <alignment horizontal="center" vertical="center" wrapText="1"/>
    </xf>
    <xf numFmtId="0" fontId="10" fillId="0" borderId="0" xfId="0" applyFont="1"/>
    <xf numFmtId="0" fontId="4" fillId="0" borderId="5" xfId="0" applyFont="1" applyBorder="1" applyAlignment="1">
      <alignment vertical="top" wrapText="1"/>
    </xf>
    <xf numFmtId="0" fontId="4" fillId="3" borderId="5" xfId="0" applyFont="1" applyFill="1" applyBorder="1" applyAlignment="1">
      <alignment vertical="top" wrapText="1"/>
    </xf>
    <xf numFmtId="0" fontId="4" fillId="4" borderId="5" xfId="0" applyFont="1" applyFill="1" applyBorder="1" applyAlignment="1">
      <alignment vertical="top" wrapText="1"/>
    </xf>
    <xf numFmtId="0" fontId="11" fillId="0" borderId="0" xfId="0" applyFont="1"/>
    <xf numFmtId="0" fontId="4" fillId="4" borderId="1" xfId="0" applyFont="1" applyFill="1" applyBorder="1"/>
    <xf numFmtId="0" fontId="4" fillId="3" borderId="1" xfId="0" applyFont="1" applyFill="1" applyBorder="1"/>
    <xf numFmtId="0" fontId="9" fillId="5" borderId="9" xfId="0" applyFont="1" applyFill="1" applyBorder="1" applyAlignment="1">
      <alignment horizontal="center" vertical="center" wrapText="1"/>
    </xf>
    <xf numFmtId="0" fontId="4" fillId="3" borderId="10" xfId="0" applyFont="1" applyFill="1" applyBorder="1" applyAlignment="1">
      <alignment vertical="top" wrapText="1"/>
    </xf>
    <xf numFmtId="0" fontId="13" fillId="4" borderId="10" xfId="0" applyFont="1" applyFill="1" applyBorder="1" applyAlignment="1">
      <alignment vertical="top" wrapText="1"/>
    </xf>
    <xf numFmtId="0" fontId="4" fillId="4" borderId="10" xfId="0" applyFont="1" applyFill="1" applyBorder="1" applyAlignment="1">
      <alignment vertical="top" wrapText="1"/>
    </xf>
    <xf numFmtId="0" fontId="14" fillId="6" borderId="6" xfId="0" applyFont="1" applyFill="1" applyBorder="1" applyAlignment="1">
      <alignment horizontal="center" vertical="top" wrapText="1"/>
    </xf>
    <xf numFmtId="0" fontId="12" fillId="0" borderId="6" xfId="0" applyFont="1" applyBorder="1" applyAlignment="1">
      <alignment horizontal="center" vertical="top"/>
    </xf>
    <xf numFmtId="0" fontId="14" fillId="6" borderId="7" xfId="0" applyFont="1" applyFill="1" applyBorder="1" applyAlignment="1">
      <alignment horizontal="center" vertical="top" wrapText="1"/>
    </xf>
    <xf numFmtId="0" fontId="14" fillId="6" borderId="8" xfId="0" applyFont="1" applyFill="1" applyBorder="1" applyAlignment="1">
      <alignment horizontal="center" vertical="top" wrapText="1"/>
    </xf>
    <xf numFmtId="0" fontId="14" fillId="6" borderId="5" xfId="0" applyFont="1" applyFill="1" applyBorder="1" applyAlignment="1">
      <alignment horizontal="center" vertical="top" wrapText="1"/>
    </xf>
    <xf numFmtId="0" fontId="12" fillId="0" borderId="0" xfId="0" applyFont="1" applyAlignment="1">
      <alignment horizontal="center" vertical="top" wrapText="1"/>
    </xf>
    <xf numFmtId="0" fontId="16" fillId="7" borderId="0" xfId="0" applyFont="1" applyFill="1" applyAlignment="1">
      <alignment horizontal="center" vertical="top"/>
    </xf>
    <xf numFmtId="0" fontId="2" fillId="7" borderId="0" xfId="0" applyFont="1" applyFill="1" applyAlignment="1">
      <alignment horizontal="center" vertical="top"/>
    </xf>
    <xf numFmtId="0" fontId="18" fillId="0" borderId="0" xfId="0" applyFont="1" applyAlignment="1">
      <alignment vertical="top" wrapText="1"/>
    </xf>
    <xf numFmtId="0" fontId="18" fillId="0" borderId="0" xfId="0" applyFont="1" applyAlignment="1">
      <alignment vertical="top"/>
    </xf>
    <xf numFmtId="0" fontId="17" fillId="0" borderId="0" xfId="0" applyFont="1" applyAlignment="1">
      <alignment vertical="top"/>
    </xf>
    <xf numFmtId="0" fontId="19" fillId="0" borderId="0" xfId="0" applyFont="1"/>
    <xf numFmtId="0" fontId="1" fillId="0" borderId="0" xfId="0" applyFont="1"/>
    <xf numFmtId="0" fontId="7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0" fontId="4" fillId="3" borderId="2" xfId="0" applyFont="1" applyFill="1" applyBorder="1"/>
    <xf numFmtId="0" fontId="4" fillId="4" borderId="2" xfId="0" applyFont="1" applyFill="1" applyBorder="1"/>
    <xf numFmtId="0" fontId="8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topLeftCell="A2" workbookViewId="0">
      <selection activeCell="A2" sqref="A2:B43"/>
    </sheetView>
  </sheetViews>
  <sheetFormatPr defaultColWidth="14.42578125" defaultRowHeight="15" customHeight="1" x14ac:dyDescent="0.25"/>
  <cols>
    <col min="1" max="11" width="50" customWidth="1"/>
    <col min="12" max="26" width="8.7109375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x14ac:dyDescent="0.25">
      <c r="A2" s="24" t="s">
        <v>113</v>
      </c>
      <c r="B2" s="24" t="s">
        <v>114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2" t="s">
        <v>16</v>
      </c>
      <c r="I2" s="2" t="s">
        <v>17</v>
      </c>
      <c r="J2" s="2" t="s">
        <v>18</v>
      </c>
      <c r="K2" s="2" t="s">
        <v>19</v>
      </c>
    </row>
    <row r="3" spans="1:11" ht="30" x14ac:dyDescent="0.25">
      <c r="A3" s="24" t="s">
        <v>115</v>
      </c>
      <c r="B3" s="24" t="s">
        <v>116</v>
      </c>
      <c r="C3" s="2" t="s">
        <v>20</v>
      </c>
      <c r="D3" s="2" t="s">
        <v>21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</row>
    <row r="4" spans="1:11" ht="30" x14ac:dyDescent="0.25">
      <c r="A4" s="24" t="s">
        <v>117</v>
      </c>
      <c r="B4" s="24" t="s">
        <v>118</v>
      </c>
      <c r="D4" s="2" t="s">
        <v>29</v>
      </c>
      <c r="E4" s="2" t="s">
        <v>30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35</v>
      </c>
      <c r="K4" s="2" t="s">
        <v>36</v>
      </c>
    </row>
    <row r="5" spans="1:11" x14ac:dyDescent="0.25">
      <c r="A5" s="24" t="s">
        <v>166</v>
      </c>
      <c r="B5" s="24" t="s">
        <v>37</v>
      </c>
      <c r="D5" s="2" t="s">
        <v>38</v>
      </c>
      <c r="E5" s="2" t="s">
        <v>39</v>
      </c>
      <c r="G5" s="2" t="s">
        <v>40</v>
      </c>
      <c r="H5" s="2" t="s">
        <v>41</v>
      </c>
      <c r="I5" s="2" t="s">
        <v>42</v>
      </c>
      <c r="J5" s="2" t="s">
        <v>43</v>
      </c>
      <c r="K5" s="2" t="s">
        <v>44</v>
      </c>
    </row>
    <row r="6" spans="1:11" x14ac:dyDescent="0.25">
      <c r="A6" s="24" t="s">
        <v>119</v>
      </c>
      <c r="B6" s="24" t="s">
        <v>45</v>
      </c>
      <c r="E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51</v>
      </c>
    </row>
    <row r="7" spans="1:11" x14ac:dyDescent="0.25">
      <c r="A7" s="2" t="s">
        <v>120</v>
      </c>
      <c r="B7" s="24" t="s">
        <v>52</v>
      </c>
      <c r="H7" s="2" t="s">
        <v>47</v>
      </c>
      <c r="I7" s="2" t="s">
        <v>47</v>
      </c>
      <c r="J7" s="2" t="s">
        <v>53</v>
      </c>
      <c r="K7" s="2" t="s">
        <v>47</v>
      </c>
    </row>
    <row r="8" spans="1:11" x14ac:dyDescent="0.25">
      <c r="A8" s="24" t="s">
        <v>56</v>
      </c>
      <c r="B8" s="24" t="s">
        <v>54</v>
      </c>
      <c r="J8" s="2" t="s">
        <v>47</v>
      </c>
    </row>
    <row r="9" spans="1:11" x14ac:dyDescent="0.25">
      <c r="A9" s="24" t="s">
        <v>167</v>
      </c>
      <c r="B9" s="24" t="s">
        <v>55</v>
      </c>
    </row>
    <row r="10" spans="1:11" x14ac:dyDescent="0.25">
      <c r="A10" s="24" t="s">
        <v>59</v>
      </c>
      <c r="B10" s="24" t="s">
        <v>121</v>
      </c>
    </row>
    <row r="11" spans="1:11" x14ac:dyDescent="0.25">
      <c r="A11" s="24" t="s">
        <v>73</v>
      </c>
      <c r="B11" s="24" t="s">
        <v>57</v>
      </c>
    </row>
    <row r="12" spans="1:11" x14ac:dyDescent="0.25">
      <c r="A12" s="24" t="s">
        <v>122</v>
      </c>
      <c r="B12" s="24" t="s">
        <v>58</v>
      </c>
    </row>
    <row r="13" spans="1:11" x14ac:dyDescent="0.25">
      <c r="B13" s="24" t="s">
        <v>60</v>
      </c>
    </row>
    <row r="14" spans="1:11" x14ac:dyDescent="0.25">
      <c r="A14" s="25"/>
      <c r="B14" s="24" t="s">
        <v>123</v>
      </c>
    </row>
    <row r="15" spans="1:11" x14ac:dyDescent="0.25">
      <c r="A15" s="25"/>
      <c r="B15" s="24" t="s">
        <v>124</v>
      </c>
    </row>
    <row r="16" spans="1:11" x14ac:dyDescent="0.25">
      <c r="A16" s="26"/>
      <c r="B16" s="24" t="s">
        <v>125</v>
      </c>
    </row>
    <row r="17" spans="1:2" x14ac:dyDescent="0.25">
      <c r="A17" s="26"/>
      <c r="B17" s="24" t="s">
        <v>126</v>
      </c>
    </row>
    <row r="18" spans="1:2" x14ac:dyDescent="0.25">
      <c r="A18" s="26"/>
      <c r="B18" s="24" t="s">
        <v>61</v>
      </c>
    </row>
    <row r="19" spans="1:2" x14ac:dyDescent="0.25">
      <c r="A19" s="26"/>
      <c r="B19" s="24" t="s">
        <v>62</v>
      </c>
    </row>
    <row r="20" spans="1:2" x14ac:dyDescent="0.25">
      <c r="A20" s="26"/>
      <c r="B20" s="24" t="s">
        <v>63</v>
      </c>
    </row>
    <row r="21" spans="1:2" ht="15.75" customHeight="1" x14ac:dyDescent="0.25">
      <c r="A21" s="26"/>
      <c r="B21" s="24" t="s">
        <v>64</v>
      </c>
    </row>
    <row r="22" spans="1:2" ht="15.75" customHeight="1" x14ac:dyDescent="0.25">
      <c r="A22" s="26"/>
      <c r="B22" s="24" t="s">
        <v>65</v>
      </c>
    </row>
    <row r="23" spans="1:2" ht="15.75" customHeight="1" x14ac:dyDescent="0.25">
      <c r="A23" s="26"/>
      <c r="B23" s="24" t="s">
        <v>66</v>
      </c>
    </row>
    <row r="24" spans="1:2" ht="15.75" customHeight="1" x14ac:dyDescent="0.25">
      <c r="A24" s="26"/>
      <c r="B24" s="24" t="s">
        <v>67</v>
      </c>
    </row>
    <row r="25" spans="1:2" ht="15.75" customHeight="1" x14ac:dyDescent="0.25">
      <c r="A25" s="26"/>
      <c r="B25" s="24" t="s">
        <v>68</v>
      </c>
    </row>
    <row r="26" spans="1:2" ht="15.75" customHeight="1" x14ac:dyDescent="0.25">
      <c r="A26" s="26"/>
      <c r="B26" s="24" t="s">
        <v>69</v>
      </c>
    </row>
    <row r="27" spans="1:2" ht="15.75" customHeight="1" x14ac:dyDescent="0.25">
      <c r="A27" s="26"/>
      <c r="B27" s="24" t="s">
        <v>70</v>
      </c>
    </row>
    <row r="28" spans="1:2" ht="15.75" customHeight="1" x14ac:dyDescent="0.25">
      <c r="A28" s="26"/>
      <c r="B28" s="24" t="s">
        <v>127</v>
      </c>
    </row>
    <row r="29" spans="1:2" ht="15.75" customHeight="1" x14ac:dyDescent="0.25">
      <c r="A29" s="26"/>
      <c r="B29" s="24" t="s">
        <v>71</v>
      </c>
    </row>
    <row r="30" spans="1:2" ht="15.75" customHeight="1" x14ac:dyDescent="0.25">
      <c r="A30" s="26"/>
      <c r="B30" s="24" t="s">
        <v>128</v>
      </c>
    </row>
    <row r="31" spans="1:2" ht="15.75" customHeight="1" x14ac:dyDescent="0.25">
      <c r="A31" s="26"/>
      <c r="B31" s="24" t="s">
        <v>129</v>
      </c>
    </row>
    <row r="32" spans="1:2" ht="15.75" customHeight="1" x14ac:dyDescent="0.25">
      <c r="A32" s="26"/>
      <c r="B32" s="24" t="s">
        <v>72</v>
      </c>
    </row>
    <row r="33" spans="1:2" ht="15.75" customHeight="1" x14ac:dyDescent="0.25">
      <c r="A33" s="26"/>
      <c r="B33" s="24" t="s">
        <v>168</v>
      </c>
    </row>
    <row r="34" spans="1:2" ht="15.75" customHeight="1" x14ac:dyDescent="0.25">
      <c r="A34" s="25"/>
      <c r="B34" s="24" t="s">
        <v>130</v>
      </c>
    </row>
    <row r="35" spans="1:2" ht="15.75" customHeight="1" x14ac:dyDescent="0.25">
      <c r="B35" s="24" t="s">
        <v>131</v>
      </c>
    </row>
    <row r="36" spans="1:2" ht="15.75" customHeight="1" x14ac:dyDescent="0.25">
      <c r="B36" s="24" t="s">
        <v>132</v>
      </c>
    </row>
    <row r="37" spans="1:2" ht="15.75" customHeight="1" x14ac:dyDescent="0.25">
      <c r="B37" s="28" t="s">
        <v>133</v>
      </c>
    </row>
    <row r="38" spans="1:2" ht="15.75" customHeight="1" x14ac:dyDescent="0.25">
      <c r="B38" s="27" t="s">
        <v>134</v>
      </c>
    </row>
    <row r="39" spans="1:2" ht="15.75" customHeight="1" x14ac:dyDescent="0.25">
      <c r="B39" s="24" t="s">
        <v>166</v>
      </c>
    </row>
    <row r="40" spans="1:2" ht="15.75" customHeight="1" x14ac:dyDescent="0.25">
      <c r="B40" s="24" t="s">
        <v>56</v>
      </c>
    </row>
    <row r="41" spans="1:2" ht="15.75" customHeight="1" x14ac:dyDescent="0.25">
      <c r="B41" s="28" t="s">
        <v>135</v>
      </c>
    </row>
    <row r="42" spans="1:2" ht="15.75" customHeight="1" x14ac:dyDescent="0.25">
      <c r="B42" t="s">
        <v>169</v>
      </c>
    </row>
    <row r="43" spans="1:2" ht="15.75" customHeight="1" x14ac:dyDescent="0.25">
      <c r="B43" t="s">
        <v>170</v>
      </c>
    </row>
    <row r="44" spans="1:2" ht="15.75" customHeight="1" x14ac:dyDescent="0.25"/>
    <row r="45" spans="1:2" ht="15.75" customHeight="1" x14ac:dyDescent="0.25"/>
    <row r="46" spans="1:2" ht="15.75" customHeight="1" x14ac:dyDescent="0.25"/>
    <row r="47" spans="1:2" ht="15.75" customHeight="1" x14ac:dyDescent="0.25"/>
    <row r="48" spans="1: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5" right="0.75" top="1" bottom="1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abSelected="1" topLeftCell="G1" zoomScale="85" zoomScaleNormal="85" workbookViewId="0">
      <selection activeCell="L11" activeCellId="5" sqref="C5 R11:R25 P11:P25 N11:N25 J11:J25 L11:L25"/>
    </sheetView>
  </sheetViews>
  <sheetFormatPr defaultColWidth="14.42578125" defaultRowHeight="15" customHeight="1" x14ac:dyDescent="0.25"/>
  <cols>
    <col min="1" max="1" width="10.85546875" customWidth="1"/>
    <col min="2" max="2" width="35" customWidth="1"/>
    <col min="3" max="3" width="28.5703125" customWidth="1"/>
    <col min="4" max="4" width="25.28515625" customWidth="1"/>
    <col min="5" max="5" width="26.42578125" customWidth="1"/>
    <col min="6" max="6" width="26.5703125" customWidth="1"/>
    <col min="7" max="7" width="31.5703125" customWidth="1"/>
    <col min="8" max="9" width="15" customWidth="1"/>
    <col min="10" max="10" width="20" customWidth="1"/>
    <col min="11" max="11" width="33.42578125" customWidth="1"/>
    <col min="12" max="12" width="20" customWidth="1"/>
    <col min="13" max="13" width="25" customWidth="1"/>
    <col min="14" max="14" width="20" customWidth="1"/>
    <col min="15" max="15" width="25" customWidth="1"/>
    <col min="16" max="16" width="20" customWidth="1"/>
    <col min="17" max="17" width="25" customWidth="1"/>
    <col min="18" max="18" width="20" customWidth="1"/>
    <col min="19" max="19" width="25" customWidth="1"/>
    <col min="20" max="20" width="25.7109375" customWidth="1"/>
    <col min="21" max="21" width="18" customWidth="1"/>
    <col min="22" max="22" width="19.28515625" customWidth="1"/>
    <col min="23" max="23" width="28" customWidth="1"/>
    <col min="24" max="24" width="20" customWidth="1"/>
    <col min="25" max="26" width="8.7109375" customWidth="1"/>
  </cols>
  <sheetData>
    <row r="1" spans="1:26" ht="30" customHeight="1" x14ac:dyDescent="0.25">
      <c r="A1" s="31" t="s">
        <v>74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3"/>
    </row>
    <row r="3" spans="1:26" x14ac:dyDescent="0.25">
      <c r="B3" s="3" t="s">
        <v>75</v>
      </c>
      <c r="C3" s="34" t="s">
        <v>165</v>
      </c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3"/>
    </row>
    <row r="4" spans="1:26" x14ac:dyDescent="0.25">
      <c r="B4" s="3" t="s">
        <v>76</v>
      </c>
      <c r="C4" s="35" t="s">
        <v>119</v>
      </c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3"/>
    </row>
    <row r="5" spans="1:26" x14ac:dyDescent="0.25">
      <c r="B5" s="3" t="s">
        <v>77</v>
      </c>
      <c r="C5" s="35" t="s">
        <v>118</v>
      </c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3"/>
    </row>
    <row r="6" spans="1:26" x14ac:dyDescent="0.25">
      <c r="B6" s="3" t="s">
        <v>78</v>
      </c>
      <c r="C6" s="34" t="s">
        <v>136</v>
      </c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3"/>
    </row>
    <row r="8" spans="1:26" ht="15.75" x14ac:dyDescent="0.25">
      <c r="A8" s="36" t="s">
        <v>79</v>
      </c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</row>
    <row r="9" spans="1:26" ht="97.15" customHeight="1" x14ac:dyDescent="0.3">
      <c r="A9" s="4" t="s">
        <v>80</v>
      </c>
      <c r="B9" s="12" t="s">
        <v>81</v>
      </c>
      <c r="C9" s="12" t="s">
        <v>82</v>
      </c>
      <c r="D9" s="12" t="s">
        <v>83</v>
      </c>
      <c r="E9" s="12" t="s">
        <v>84</v>
      </c>
      <c r="F9" s="12" t="s">
        <v>106</v>
      </c>
      <c r="G9" s="4" t="s">
        <v>85</v>
      </c>
      <c r="H9" s="4" t="s">
        <v>86</v>
      </c>
      <c r="I9" s="4" t="s">
        <v>87</v>
      </c>
      <c r="J9" s="4" t="s">
        <v>88</v>
      </c>
      <c r="K9" s="4" t="s">
        <v>89</v>
      </c>
      <c r="L9" s="4" t="s">
        <v>90</v>
      </c>
      <c r="M9" s="4" t="s">
        <v>91</v>
      </c>
      <c r="N9" s="4" t="s">
        <v>92</v>
      </c>
      <c r="O9" s="4" t="s">
        <v>93</v>
      </c>
      <c r="P9" s="4" t="s">
        <v>94</v>
      </c>
      <c r="Q9" s="4" t="s">
        <v>95</v>
      </c>
      <c r="R9" s="4" t="s">
        <v>96</v>
      </c>
      <c r="S9" s="4" t="s">
        <v>97</v>
      </c>
      <c r="T9" s="4" t="s">
        <v>98</v>
      </c>
      <c r="U9" s="4" t="s">
        <v>99</v>
      </c>
      <c r="V9" s="4" t="s">
        <v>100</v>
      </c>
      <c r="W9" s="4" t="s">
        <v>101</v>
      </c>
      <c r="X9" s="4" t="s">
        <v>102</v>
      </c>
      <c r="Y9" s="5"/>
      <c r="Z9" s="5"/>
    </row>
    <row r="10" spans="1:26" s="23" customFormat="1" ht="48.6" customHeight="1" x14ac:dyDescent="0.25">
      <c r="A10" s="18" t="s">
        <v>112</v>
      </c>
      <c r="B10" s="16" t="s">
        <v>107</v>
      </c>
      <c r="C10" s="17" t="s">
        <v>108</v>
      </c>
      <c r="D10" s="17" t="s">
        <v>108</v>
      </c>
      <c r="E10" s="17" t="s">
        <v>108</v>
      </c>
      <c r="F10" s="16" t="s">
        <v>110</v>
      </c>
      <c r="G10" s="19"/>
      <c r="H10" s="20"/>
      <c r="I10" s="20"/>
      <c r="J10" s="17" t="s">
        <v>108</v>
      </c>
      <c r="K10" s="21" t="s">
        <v>109</v>
      </c>
      <c r="L10" s="17" t="s">
        <v>108</v>
      </c>
      <c r="M10" s="21" t="s">
        <v>109</v>
      </c>
      <c r="N10" s="17" t="s">
        <v>108</v>
      </c>
      <c r="O10" s="21" t="s">
        <v>109</v>
      </c>
      <c r="P10" s="17" t="s">
        <v>108</v>
      </c>
      <c r="Q10" s="21" t="s">
        <v>109</v>
      </c>
      <c r="R10" s="17" t="s">
        <v>108</v>
      </c>
      <c r="S10" s="21" t="s">
        <v>109</v>
      </c>
      <c r="T10" s="20"/>
      <c r="U10" s="20"/>
      <c r="V10" s="20" t="s">
        <v>111</v>
      </c>
      <c r="W10" s="20"/>
      <c r="X10" s="20"/>
      <c r="Y10" s="22"/>
      <c r="Z10" s="22"/>
    </row>
    <row r="11" spans="1:26" ht="102" customHeight="1" x14ac:dyDescent="0.25">
      <c r="A11" s="6">
        <v>1</v>
      </c>
      <c r="B11" s="13" t="s">
        <v>137</v>
      </c>
      <c r="C11" s="14" t="s">
        <v>11</v>
      </c>
      <c r="D11" s="14" t="s">
        <v>12</v>
      </c>
      <c r="E11" s="15" t="s">
        <v>13</v>
      </c>
      <c r="F11" s="13">
        <v>120</v>
      </c>
      <c r="G11" s="7" t="s">
        <v>138</v>
      </c>
      <c r="H11" s="7" t="s">
        <v>41</v>
      </c>
      <c r="I11" s="7" t="s">
        <v>26</v>
      </c>
      <c r="J11" s="8" t="s">
        <v>124</v>
      </c>
      <c r="K11" s="7" t="s">
        <v>139</v>
      </c>
      <c r="L11" s="8" t="s">
        <v>123</v>
      </c>
      <c r="M11" s="7" t="s">
        <v>140</v>
      </c>
      <c r="N11" s="8"/>
      <c r="O11" s="7"/>
      <c r="P11" s="8"/>
      <c r="Q11" s="7"/>
      <c r="R11" s="8"/>
      <c r="S11" s="7"/>
      <c r="T11" s="7" t="s">
        <v>141</v>
      </c>
      <c r="U11" s="7" t="s">
        <v>142</v>
      </c>
      <c r="V11" s="8" t="s">
        <v>31</v>
      </c>
      <c r="W11" s="7" t="s">
        <v>143</v>
      </c>
      <c r="X11" s="7" t="s">
        <v>19</v>
      </c>
    </row>
    <row r="12" spans="1:26" ht="141" customHeight="1" x14ac:dyDescent="0.25">
      <c r="A12" s="6">
        <v>2</v>
      </c>
      <c r="B12" s="7" t="s">
        <v>144</v>
      </c>
      <c r="C12" s="8" t="s">
        <v>11</v>
      </c>
      <c r="D12" s="8" t="s">
        <v>12</v>
      </c>
      <c r="E12" s="8" t="s">
        <v>13</v>
      </c>
      <c r="F12" s="7">
        <v>240</v>
      </c>
      <c r="G12" s="7" t="s">
        <v>146</v>
      </c>
      <c r="H12" s="7" t="s">
        <v>16</v>
      </c>
      <c r="I12" s="7" t="s">
        <v>34</v>
      </c>
      <c r="J12" s="8" t="s">
        <v>56</v>
      </c>
      <c r="K12" s="7" t="s">
        <v>145</v>
      </c>
      <c r="L12" s="8" t="s">
        <v>126</v>
      </c>
      <c r="M12" s="7" t="s">
        <v>147</v>
      </c>
      <c r="N12" s="8"/>
      <c r="O12" s="7"/>
      <c r="P12" s="8"/>
      <c r="Q12" s="7"/>
      <c r="R12" s="8"/>
      <c r="S12" s="7"/>
      <c r="T12" s="7"/>
      <c r="U12" s="7"/>
      <c r="V12" s="8" t="s">
        <v>31</v>
      </c>
      <c r="W12" s="7" t="s">
        <v>18</v>
      </c>
      <c r="X12" s="7" t="s">
        <v>36</v>
      </c>
    </row>
    <row r="13" spans="1:26" ht="136.5" customHeight="1" x14ac:dyDescent="0.25">
      <c r="A13" s="6">
        <v>3</v>
      </c>
      <c r="B13" s="7" t="s">
        <v>148</v>
      </c>
      <c r="C13" s="8" t="s">
        <v>11</v>
      </c>
      <c r="D13" s="8" t="s">
        <v>21</v>
      </c>
      <c r="E13" s="8" t="s">
        <v>13</v>
      </c>
      <c r="F13" s="7">
        <v>30</v>
      </c>
      <c r="G13" s="7" t="s">
        <v>149</v>
      </c>
      <c r="H13" s="7" t="s">
        <v>47</v>
      </c>
      <c r="I13" s="7" t="s">
        <v>42</v>
      </c>
      <c r="J13" s="8" t="s">
        <v>71</v>
      </c>
      <c r="K13" s="7" t="s">
        <v>150</v>
      </c>
      <c r="L13" s="8" t="s">
        <v>60</v>
      </c>
      <c r="M13" s="7" t="s">
        <v>151</v>
      </c>
      <c r="N13" s="8"/>
      <c r="O13" s="7"/>
      <c r="P13" s="8"/>
      <c r="Q13" s="7"/>
      <c r="R13" s="8"/>
      <c r="S13" s="7"/>
      <c r="T13" s="7"/>
      <c r="U13" s="7"/>
      <c r="V13" s="8" t="s">
        <v>23</v>
      </c>
      <c r="W13" s="7" t="s">
        <v>152</v>
      </c>
      <c r="X13" s="7" t="s">
        <v>44</v>
      </c>
    </row>
    <row r="14" spans="1:26" ht="118.5" customHeight="1" x14ac:dyDescent="0.25">
      <c r="A14" s="6">
        <v>4</v>
      </c>
      <c r="B14" s="7" t="s">
        <v>153</v>
      </c>
      <c r="C14" s="8" t="s">
        <v>20</v>
      </c>
      <c r="D14" s="8" t="s">
        <v>12</v>
      </c>
      <c r="E14" s="8" t="s">
        <v>13</v>
      </c>
      <c r="F14" s="7">
        <v>240</v>
      </c>
      <c r="G14" s="7" t="s">
        <v>154</v>
      </c>
      <c r="H14" s="7" t="s">
        <v>155</v>
      </c>
      <c r="I14" s="7" t="s">
        <v>17</v>
      </c>
      <c r="J14" s="8" t="s">
        <v>55</v>
      </c>
      <c r="K14" s="7" t="s">
        <v>156</v>
      </c>
      <c r="L14" s="8" t="s">
        <v>60</v>
      </c>
      <c r="M14" s="7" t="s">
        <v>157</v>
      </c>
      <c r="N14" s="8"/>
      <c r="O14" s="7"/>
      <c r="P14" s="8"/>
      <c r="Q14" s="7"/>
      <c r="R14" s="8"/>
      <c r="S14" s="7"/>
      <c r="T14" s="7" t="s">
        <v>158</v>
      </c>
      <c r="U14" s="7" t="s">
        <v>159</v>
      </c>
      <c r="V14" s="8" t="s">
        <v>23</v>
      </c>
      <c r="W14" s="7" t="s">
        <v>53</v>
      </c>
      <c r="X14" s="7" t="s">
        <v>19</v>
      </c>
    </row>
    <row r="15" spans="1:26" ht="75" customHeight="1" x14ac:dyDescent="0.25">
      <c r="A15" s="6">
        <v>5</v>
      </c>
      <c r="B15" s="7" t="s">
        <v>160</v>
      </c>
      <c r="C15" s="8" t="s">
        <v>11</v>
      </c>
      <c r="D15" s="8" t="s">
        <v>38</v>
      </c>
      <c r="E15" s="8" t="s">
        <v>13</v>
      </c>
      <c r="F15" s="7">
        <v>120</v>
      </c>
      <c r="G15" s="7" t="s">
        <v>161</v>
      </c>
      <c r="H15" s="7"/>
      <c r="I15" s="7" t="s">
        <v>17</v>
      </c>
      <c r="J15" s="8" t="s">
        <v>125</v>
      </c>
      <c r="K15" s="7" t="s">
        <v>162</v>
      </c>
      <c r="L15" s="8" t="s">
        <v>123</v>
      </c>
      <c r="M15" s="7" t="s">
        <v>163</v>
      </c>
      <c r="N15" s="8"/>
      <c r="O15" s="7"/>
      <c r="P15" s="8"/>
      <c r="Q15" s="7"/>
      <c r="R15" s="8"/>
      <c r="S15" s="7"/>
      <c r="T15" s="7"/>
      <c r="U15" s="7" t="s">
        <v>164</v>
      </c>
      <c r="V15" s="8"/>
      <c r="W15" s="7" t="s">
        <v>27</v>
      </c>
      <c r="X15" s="7" t="s">
        <v>51</v>
      </c>
    </row>
    <row r="16" spans="1:26" ht="39.75" customHeight="1" x14ac:dyDescent="0.25">
      <c r="A16" s="6">
        <v>6</v>
      </c>
      <c r="B16" s="7"/>
      <c r="C16" s="8"/>
      <c r="D16" s="8"/>
      <c r="E16" s="8"/>
      <c r="F16" s="7"/>
      <c r="G16" s="7"/>
      <c r="H16" s="7"/>
      <c r="I16" s="7"/>
      <c r="J16" s="8"/>
      <c r="K16" s="7"/>
      <c r="L16" s="8"/>
      <c r="M16" s="7"/>
      <c r="N16" s="8"/>
      <c r="O16" s="7"/>
      <c r="P16" s="8"/>
      <c r="Q16" s="7"/>
      <c r="R16" s="8"/>
      <c r="S16" s="7"/>
      <c r="T16" s="7"/>
      <c r="U16" s="7"/>
      <c r="V16" s="8"/>
      <c r="W16" s="7"/>
      <c r="X16" s="7"/>
    </row>
    <row r="17" spans="1:24" ht="39.75" customHeight="1" x14ac:dyDescent="0.25">
      <c r="A17" s="6">
        <v>7</v>
      </c>
      <c r="B17" s="7"/>
      <c r="C17" s="8"/>
      <c r="D17" s="8"/>
      <c r="E17" s="8"/>
      <c r="F17" s="7"/>
      <c r="G17" s="7"/>
      <c r="H17" s="7"/>
      <c r="I17" s="7"/>
      <c r="J17" s="8"/>
      <c r="K17" s="7"/>
      <c r="L17" s="8"/>
      <c r="M17" s="7"/>
      <c r="N17" s="8"/>
      <c r="O17" s="7"/>
      <c r="P17" s="8"/>
      <c r="Q17" s="7"/>
      <c r="R17" s="8"/>
      <c r="S17" s="7"/>
      <c r="T17" s="7"/>
      <c r="U17" s="7"/>
      <c r="V17" s="8"/>
      <c r="W17" s="7"/>
      <c r="X17" s="7"/>
    </row>
    <row r="18" spans="1:24" ht="39.75" customHeight="1" x14ac:dyDescent="0.25">
      <c r="A18" s="6">
        <v>8</v>
      </c>
      <c r="B18" s="7"/>
      <c r="C18" s="8"/>
      <c r="D18" s="8"/>
      <c r="E18" s="8"/>
      <c r="F18" s="7"/>
      <c r="G18" s="7"/>
      <c r="H18" s="7"/>
      <c r="I18" s="7"/>
      <c r="J18" s="8"/>
      <c r="K18" s="7"/>
      <c r="L18" s="8"/>
      <c r="M18" s="7"/>
      <c r="N18" s="8"/>
      <c r="O18" s="7"/>
      <c r="P18" s="8"/>
      <c r="Q18" s="7"/>
      <c r="R18" s="8"/>
      <c r="S18" s="7"/>
      <c r="T18" s="7"/>
      <c r="U18" s="7"/>
      <c r="V18" s="8"/>
      <c r="W18" s="7"/>
      <c r="X18" s="7"/>
    </row>
    <row r="19" spans="1:24" ht="39.75" customHeight="1" x14ac:dyDescent="0.25">
      <c r="A19" s="6">
        <v>9</v>
      </c>
      <c r="B19" s="7"/>
      <c r="C19" s="8"/>
      <c r="D19" s="8"/>
      <c r="E19" s="8"/>
      <c r="F19" s="7"/>
      <c r="G19" s="7"/>
      <c r="H19" s="7"/>
      <c r="I19" s="7"/>
      <c r="J19" s="8"/>
      <c r="K19" s="7"/>
      <c r="L19" s="8"/>
      <c r="M19" s="7"/>
      <c r="N19" s="8"/>
      <c r="O19" s="7"/>
      <c r="P19" s="8"/>
      <c r="Q19" s="7"/>
      <c r="R19" s="8"/>
      <c r="S19" s="7"/>
      <c r="T19" s="7"/>
      <c r="U19" s="7"/>
      <c r="V19" s="8"/>
      <c r="W19" s="7"/>
      <c r="X19" s="7"/>
    </row>
    <row r="20" spans="1:24" ht="39.75" customHeight="1" x14ac:dyDescent="0.25">
      <c r="A20" s="6">
        <v>10</v>
      </c>
      <c r="B20" s="7"/>
      <c r="C20" s="8"/>
      <c r="D20" s="8"/>
      <c r="E20" s="8"/>
      <c r="F20" s="7"/>
      <c r="G20" s="7"/>
      <c r="H20" s="7"/>
      <c r="I20" s="7"/>
      <c r="J20" s="8"/>
      <c r="K20" s="7"/>
      <c r="L20" s="8"/>
      <c r="M20" s="7"/>
      <c r="N20" s="8"/>
      <c r="O20" s="7"/>
      <c r="P20" s="8"/>
      <c r="Q20" s="7"/>
      <c r="R20" s="8"/>
      <c r="S20" s="7"/>
      <c r="T20" s="7"/>
      <c r="U20" s="7"/>
      <c r="V20" s="8"/>
      <c r="W20" s="7"/>
      <c r="X20" s="7"/>
    </row>
    <row r="21" spans="1:24" ht="39.75" customHeight="1" x14ac:dyDescent="0.25">
      <c r="A21" s="6">
        <v>11</v>
      </c>
      <c r="B21" s="7"/>
      <c r="C21" s="8"/>
      <c r="D21" s="8"/>
      <c r="E21" s="8"/>
      <c r="F21" s="7"/>
      <c r="G21" s="7"/>
      <c r="H21" s="7"/>
      <c r="I21" s="7"/>
      <c r="J21" s="8"/>
      <c r="K21" s="7"/>
      <c r="L21" s="8"/>
      <c r="M21" s="7"/>
      <c r="N21" s="8"/>
      <c r="O21" s="7"/>
      <c r="P21" s="8"/>
      <c r="Q21" s="7"/>
      <c r="R21" s="8"/>
      <c r="S21" s="7"/>
      <c r="T21" s="7"/>
      <c r="U21" s="7"/>
      <c r="V21" s="8"/>
      <c r="W21" s="7"/>
      <c r="X21" s="7"/>
    </row>
    <row r="22" spans="1:24" ht="39.75" customHeight="1" x14ac:dyDescent="0.25">
      <c r="A22" s="6">
        <v>12</v>
      </c>
      <c r="B22" s="7"/>
      <c r="C22" s="8"/>
      <c r="D22" s="8"/>
      <c r="E22" s="8"/>
      <c r="F22" s="7"/>
      <c r="G22" s="7"/>
      <c r="H22" s="7"/>
      <c r="I22" s="7"/>
      <c r="J22" s="8"/>
      <c r="K22" s="7"/>
      <c r="L22" s="8"/>
      <c r="M22" s="7"/>
      <c r="N22" s="8"/>
      <c r="O22" s="7"/>
      <c r="P22" s="8"/>
      <c r="Q22" s="7"/>
      <c r="R22" s="8"/>
      <c r="S22" s="7"/>
      <c r="T22" s="7"/>
      <c r="U22" s="7"/>
      <c r="V22" s="8"/>
      <c r="W22" s="7"/>
      <c r="X22" s="7"/>
    </row>
    <row r="23" spans="1:24" ht="39.75" customHeight="1" x14ac:dyDescent="0.25">
      <c r="A23" s="6">
        <v>13</v>
      </c>
      <c r="B23" s="7"/>
      <c r="C23" s="8"/>
      <c r="D23" s="8"/>
      <c r="E23" s="8"/>
      <c r="F23" s="7"/>
      <c r="G23" s="7"/>
      <c r="H23" s="7"/>
      <c r="I23" s="7"/>
      <c r="J23" s="8"/>
      <c r="K23" s="7"/>
      <c r="L23" s="8"/>
      <c r="M23" s="7"/>
      <c r="N23" s="8"/>
      <c r="O23" s="7"/>
      <c r="P23" s="8"/>
      <c r="Q23" s="7"/>
      <c r="R23" s="8"/>
      <c r="S23" s="7"/>
      <c r="T23" s="7"/>
      <c r="U23" s="7"/>
      <c r="V23" s="8"/>
      <c r="W23" s="7"/>
      <c r="X23" s="7"/>
    </row>
    <row r="24" spans="1:24" ht="39.75" customHeight="1" x14ac:dyDescent="0.25">
      <c r="A24" s="6">
        <v>14</v>
      </c>
      <c r="B24" s="7"/>
      <c r="C24" s="8"/>
      <c r="D24" s="8"/>
      <c r="E24" s="8"/>
      <c r="F24" s="7"/>
      <c r="G24" s="7"/>
      <c r="H24" s="7"/>
      <c r="I24" s="7"/>
      <c r="J24" s="8"/>
      <c r="K24" s="7"/>
      <c r="L24" s="8"/>
      <c r="M24" s="7"/>
      <c r="N24" s="8"/>
      <c r="O24" s="7"/>
      <c r="P24" s="8"/>
      <c r="Q24" s="7"/>
      <c r="R24" s="8"/>
      <c r="S24" s="7"/>
      <c r="T24" s="7"/>
      <c r="U24" s="7"/>
      <c r="V24" s="8"/>
      <c r="W24" s="7"/>
      <c r="X24" s="7"/>
    </row>
    <row r="25" spans="1:24" ht="39.75" customHeight="1" x14ac:dyDescent="0.25">
      <c r="A25" s="6">
        <v>15</v>
      </c>
      <c r="B25" s="7"/>
      <c r="C25" s="8"/>
      <c r="D25" s="8"/>
      <c r="E25" s="8"/>
      <c r="F25" s="7"/>
      <c r="G25" s="7"/>
      <c r="H25" s="7"/>
      <c r="I25" s="7"/>
      <c r="J25" s="8"/>
      <c r="K25" s="7"/>
      <c r="L25" s="8"/>
      <c r="M25" s="7"/>
      <c r="N25" s="8"/>
      <c r="O25" s="7"/>
      <c r="P25" s="8"/>
      <c r="Q25" s="7"/>
      <c r="R25" s="8"/>
      <c r="S25" s="7"/>
      <c r="T25" s="7"/>
      <c r="U25" s="7"/>
      <c r="V25" s="8"/>
      <c r="W25" s="7"/>
      <c r="X25" s="7"/>
    </row>
    <row r="26" spans="1:24" ht="15.75" customHeight="1" x14ac:dyDescent="0.25"/>
    <row r="27" spans="1:24" ht="15.75" customHeight="1" x14ac:dyDescent="0.25">
      <c r="A27" s="9" t="s">
        <v>103</v>
      </c>
    </row>
    <row r="28" spans="1:24" ht="15.75" customHeight="1" x14ac:dyDescent="0.25">
      <c r="A28" s="10" t="s">
        <v>104</v>
      </c>
      <c r="B28" s="29" t="e">
        <f ca="1">Выпадающий список(ТОЛЬКО из списка)</f>
        <v>#NAME?</v>
      </c>
      <c r="C28" s="30"/>
      <c r="D28" s="30"/>
      <c r="E28" s="30"/>
    </row>
    <row r="29" spans="1:24" ht="15.75" customHeight="1" x14ac:dyDescent="0.25">
      <c r="A29" s="11" t="s">
        <v>105</v>
      </c>
      <c r="B29" s="29" t="e">
        <f>Можно выбрать из списка ИЛИ написать своё</f>
        <v>#NAME?</v>
      </c>
      <c r="C29" s="30"/>
      <c r="D29" s="30"/>
      <c r="E29" s="30"/>
    </row>
    <row r="30" spans="1:24" ht="15.75" customHeight="1" x14ac:dyDescent="0.25"/>
    <row r="31" spans="1:24" ht="15.75" customHeight="1" x14ac:dyDescent="0.25"/>
    <row r="32" spans="1:24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8">
    <mergeCell ref="B28:E28"/>
    <mergeCell ref="B29:E29"/>
    <mergeCell ref="A1:X1"/>
    <mergeCell ref="C3:X3"/>
    <mergeCell ref="C4:X4"/>
    <mergeCell ref="C5:X5"/>
    <mergeCell ref="C6:X6"/>
    <mergeCell ref="A8:X8"/>
  </mergeCells>
  <pageMargins left="0.75" right="0.75" top="1" bottom="1" header="0" footer="0"/>
  <pageSetup orientation="landscape" r:id="rId1"/>
  <extLst>
    <ext xmlns:x14="http://schemas.microsoft.com/office/spreadsheetml/2009/9/main" uri="{CCE6A557-97BC-4b89-ADB6-D9C93CAAB3DF}">
      <x14:dataValidations xmlns:xm="http://schemas.microsoft.com/office/excel/2006/main" count="11">
        <x14:dataValidation type="list" allowBlank="1" xr:uid="{00000000-0002-0000-0100-000000000000}">
          <x14:formula1>
            <xm:f>Справочники!$E$2:$E$6</xm:f>
          </x14:formula1>
          <xm:sqref>E11:E25</xm:sqref>
        </x14:dataValidation>
        <x14:dataValidation type="list" allowBlank="1" xr:uid="{00000000-0002-0000-0100-000001000000}">
          <x14:formula1>
            <xm:f>Справочники!$G$2:$G$6</xm:f>
          </x14:formula1>
          <xm:sqref>G11:G25</xm:sqref>
        </x14:dataValidation>
        <x14:dataValidation type="list" allowBlank="1" xr:uid="{00000000-0002-0000-0100-000002000000}">
          <x14:formula1>
            <xm:f>Справочники!$F$2:$F$4</xm:f>
          </x14:formula1>
          <xm:sqref>V11:V25</xm:sqref>
        </x14:dataValidation>
        <x14:dataValidation type="list" allowBlank="1" xr:uid="{00000000-0002-0000-0100-000003000000}">
          <x14:formula1>
            <xm:f>Справочники!$I$2:$I$7</xm:f>
          </x14:formula1>
          <xm:sqref>I11:I25</xm:sqref>
        </x14:dataValidation>
        <x14:dataValidation type="list" allowBlank="1" xr:uid="{00000000-0002-0000-0100-000005000000}">
          <x14:formula1>
            <xm:f>Справочники!$D$2:$D$5</xm:f>
          </x14:formula1>
          <xm:sqref>D11:D25</xm:sqref>
        </x14:dataValidation>
        <x14:dataValidation type="list" allowBlank="1" xr:uid="{00000000-0002-0000-0100-000006000000}">
          <x14:formula1>
            <xm:f>Справочники!$C$2:$C$3</xm:f>
          </x14:formula1>
          <xm:sqref>C11:C25</xm:sqref>
        </x14:dataValidation>
        <x14:dataValidation type="list" allowBlank="1" xr:uid="{00000000-0002-0000-0100-000008000000}">
          <x14:formula1>
            <xm:f>Справочники!$H$2:$H$7</xm:f>
          </x14:formula1>
          <xm:sqref>H11:H25</xm:sqref>
        </x14:dataValidation>
        <x14:dataValidation type="list" allowBlank="1" xr:uid="{00000000-0002-0000-0100-000009000000}">
          <x14:formula1>
            <xm:f>Справочники!$J$2:$J$8</xm:f>
          </x14:formula1>
          <xm:sqref>W11:W25</xm:sqref>
        </x14:dataValidation>
        <x14:dataValidation type="list" allowBlank="1" xr:uid="{00000000-0002-0000-0100-00000A000000}">
          <x14:formula1>
            <xm:f>Справочники!$K$2:$K$7</xm:f>
          </x14:formula1>
          <xm:sqref>X11:X25</xm:sqref>
        </x14:dataValidation>
        <x14:dataValidation type="list" allowBlank="1" xr:uid="{00000000-0002-0000-0100-000004000000}">
          <x14:formula1>
            <xm:f>Справочники!$A$2:$A$13</xm:f>
          </x14:formula1>
          <xm:sqref>C4:X4</xm:sqref>
        </x14:dataValidation>
        <x14:dataValidation type="list" allowBlank="1" xr:uid="{00000000-0002-0000-0100-000007000000}">
          <x14:formula1>
            <xm:f>Справочники!$B$2:$B$44</xm:f>
          </x14:formula1>
          <xm:sqref>C5 R11:R25 P11:P25 N11:N25 J11:J25 L11:L25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Справочники</vt:lpstr>
      <vt:lpstr>ШАБЛОН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Александр Ларин</cp:lastModifiedBy>
  <dcterms:created xsi:type="dcterms:W3CDTF">2025-12-06T19:31:51Z</dcterms:created>
  <dcterms:modified xsi:type="dcterms:W3CDTF">2026-01-26T07:48:07Z</dcterms:modified>
</cp:coreProperties>
</file>