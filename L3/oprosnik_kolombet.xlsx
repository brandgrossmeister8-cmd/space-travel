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6185033-0265-434B-8466-9729A369ED9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4" i="2" l="1"/>
  <c r="B33" i="2"/>
</calcChain>
</file>

<file path=xl/sharedStrings.xml><?xml version="1.0" encoding="utf-8"?>
<sst xmlns="http://schemas.openxmlformats.org/spreadsheetml/2006/main" count="449" uniqueCount="211">
  <si>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</si>
  <si>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</si>
  <si>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</si>
  <si>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</si>
  <si>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</si>
  <si>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</si>
  <si>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</si>
  <si>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</si>
  <si>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</si>
  <si>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</si>
  <si>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</si>
  <si>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</si>
  <si>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</si>
  <si>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</si>
  <si>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</si>
  <si>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</si>
  <si>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</si>
  <si>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</si>
  <si>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</si>
  <si>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</si>
  <si>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</si>
  <si>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</si>
  <si>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</si>
  <si>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</si>
  <si>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</si>
  <si>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</si>
  <si>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</si>
  <si>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</si>
  <si>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</si>
  <si>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</si>
  <si>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</si>
  <si>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</si>
  <si>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</si>
  <si>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</si>
  <si>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</si>
  <si>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</si>
  <si>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</si>
  <si>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</si>
  <si>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</si>
  <si>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</si>
  <si>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</si>
  <si>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</si>
  <si>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</si>
  <si>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</si>
  <si>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</si>
  <si>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</si>
  <si>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</si>
  <si>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</si>
  <si>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</si>
  <si>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</si>
  <si>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</si>
  <si>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</si>
  <si>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</si>
  <si>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</si>
  <si>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</si>
  <si>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</si>
  <si>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</si>
  <si>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</si>
  <si>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</si>
  <si>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</si>
  <si>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</si>
  <si>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</si>
  <si>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</si>
  <si>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</si>
  <si>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</si>
  <si>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</si>
  <si>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</si>
  <si>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</si>
  <si>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</si>
  <si>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</si>
  <si>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</si>
  <si>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</si>
  <si>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</si>
  <si>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</si>
  <si>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</si>
  <si>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</si>
  <si>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</si>
  <si>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</si>
  <si>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</si>
  <si>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</si>
  <si>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</si>
  <si>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</si>
  <si>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</si>
  <si>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</si>
  <si>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</si>
  <si>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</si>
  <si>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</si>
  <si>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</si>
  <si>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</si>
  <si>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</si>
  <si>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</si>
  <si>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</si>
  <si>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</si>
  <si>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</si>
  <si>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</si>
  <si>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</si>
  <si>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</si>
  <si>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</si>
  <si>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</si>
  <si>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</si>
  <si>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</si>
  <si>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</si>
  <si>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</si>
  <si>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</si>
  <si>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</si>
  <si>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</si>
  <si>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</si>
  <si>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</si>
  <si>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</si>
  <si>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</si>
  <si>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</si>
  <si>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</si>
  <si>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</si>
  <si>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</si>
  <si>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</si>
  <si>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</si>
  <si>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</si>
  <si>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</si>
  <si>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</si>
  <si>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</si>
  <si>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</si>
  <si>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</si>
  <si>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</si>
  <si>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</si>
  <si>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</si>
  <si>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</si>
  <si>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</si>
  <si>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</si>
  <si>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</si>
  <si>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</si>
  <si>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</si>
  <si>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</si>
  <si>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</si>
  <si>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</si>
  <si>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</si>
  <si>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</si>
  <si>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проектов отдела IT</t>
  </si>
  <si>
    <t>Упрощение коммуникаций с командой САМО-Тур</t>
  </si>
  <si>
    <t>Упрощение коммуникаций с партнером</t>
  </si>
  <si>
    <t>Взаимодействую с партнерами по техническим вопросам интеграций (наземное обслуживание)</t>
  </si>
  <si>
    <t>Взаимодействую с партнерами по техническим вопросам интеграций (авиа)</t>
  </si>
  <si>
    <t>Помогаю решить проблему с отправкой заявки поставщику по интеграции</t>
  </si>
  <si>
    <t>Redmine Самософт</t>
  </si>
  <si>
    <t>Проверяю почту, мессенджеры, битрикс на наличие новых задач</t>
  </si>
  <si>
    <t>Проверяю почту, мессенджеры, битрикс, системы партнеров, Redmine Самомофт на наличие новой информации по текущим задачам</t>
  </si>
  <si>
    <t>Настраиваю доступ к ценам чартерных рейсов в модуле "Билеты"</t>
  </si>
  <si>
    <t>Другое + большое количество источников задач</t>
  </si>
  <si>
    <t>Помогаю решить проблему с отображением цен чартерных рейсов в модуле "Билеты"</t>
  </si>
  <si>
    <t>Другое + горение билетов</t>
  </si>
  <si>
    <t>Автоматизирую рутинные процессы на уровне БД, где можно обойтись без команды Самософт</t>
  </si>
  <si>
    <t>Настраиваю и обслуживаю мониторинг цен с сайта sletat.ru</t>
  </si>
  <si>
    <t>API Sletat.ru</t>
  </si>
  <si>
    <t>Настраиваю отчёты Power BI</t>
  </si>
  <si>
    <t>Корректирую отчёты Power BI</t>
  </si>
  <si>
    <t>Выяснение технической проблемы с заявкой. Получаю номер заявки и описание проблемы. Передаю порядок действий для решения этой проблемы по рекомендациям поставщика / команды Самософт</t>
  </si>
  <si>
    <t>Выяснение причин расхождения данных. Получаю описание проблемы, передаю порядок действий для устранения проблемы по рекомендациям поставщика / команды Самософт</t>
  </si>
  <si>
    <t>Получаю информацию о партнере и группе тарифов</t>
  </si>
  <si>
    <t>Выяснение причин пропадания цен на сайте. Получаю информацию о проблеме, передаю порядок действий для устранения проблемы</t>
  </si>
  <si>
    <t>Выяснение причин пропадания цен на сайте. Передаю порядок действий для устранения проблемы</t>
  </si>
  <si>
    <t>Получаю информации о деталях интеграции. Продуктовая команда способствует ускорению коммуникации с партнером</t>
  </si>
  <si>
    <t>Получаю информации о деталях интеграции. Руководитель транспортного отдела способствует ускорению коммуникации с партнером</t>
  </si>
  <si>
    <t>Получаю информации о параметрах настройки</t>
  </si>
  <si>
    <t>API Партнера, Redmine Самософт, мессенджеры</t>
  </si>
  <si>
    <t>Продуктовая команда способствует ускорению коммуникации с партнером</t>
  </si>
  <si>
    <t>Внутренние системы (САМО-Тур, почта, битрикс)</t>
  </si>
  <si>
    <t>Внутренние системы (САМО-Тур, битрикс)</t>
  </si>
  <si>
    <t>"Help Desk" партнера, Redmine Самософт, мессенджеры</t>
  </si>
  <si>
    <t>Мессенджеры</t>
  </si>
  <si>
    <t>Мессенджеры,  Redmine Самософт</t>
  </si>
  <si>
    <t>Внутренние системы (САМО-Тур, почта, битрикс, БД)</t>
  </si>
  <si>
    <t>Внутренние системы (почта, битрикс)</t>
  </si>
  <si>
    <t>Redmine Самософт, мессенджеры</t>
  </si>
  <si>
    <t>Внутренние системы (САМО-Тур, БД, битрикс, почта)</t>
  </si>
  <si>
    <t>Redmine Самософт, Мессенджеры</t>
  </si>
  <si>
    <t>Внутренние системы (БД)</t>
  </si>
  <si>
    <t>Внутренние системы (БД, САМО-Тур, битрикс)</t>
  </si>
  <si>
    <t>Передаю задачи на линковку отелей команде sletat.ru</t>
  </si>
  <si>
    <t>Передаю порядок действий над классификаторами для дальнейшей передачи списка отелей команде sletat.ru</t>
  </si>
  <si>
    <t>Внутренние системы (САМО-Тур, БД, сервер отчетов Power BI, битрикс, почта)</t>
  </si>
  <si>
    <t>Внутренние системы (БД, сервер отчетов Power BI, почта, битрикс)</t>
  </si>
  <si>
    <t>Формулирую техническое задание для поддержки САМО-Тур</t>
  </si>
  <si>
    <t>Трудно получить информацию + технически сложные задачи</t>
  </si>
  <si>
    <t>Отсутствие информации + нет ответа от исполнителя по статусу задачи, только по завершении</t>
  </si>
  <si>
    <t>Разрабатываю, настраиваю и обслуживаю собственные технические мониторинги компании</t>
  </si>
  <si>
    <t>Помогаю решить проблему с отображением туров на сайтах агрегаторов</t>
  </si>
  <si>
    <t>Мессенджеры, сайт агрегатора</t>
  </si>
  <si>
    <t>Не дают информацию вовремя + источник задачи долго не предоставляет дополнительных сведений, необходимых для постановки задачи в Самософт</t>
  </si>
  <si>
    <t>Руководитель транспортного отдела способствует ускорению коммуникации с партнером</t>
  </si>
  <si>
    <t>Потеря контроля +  бронирование по более высокому тарифу</t>
  </si>
  <si>
    <t>Не дают информацию вовремя + сбор логов + поставщик отвечает долго, в среднем около 2 дней из-за сложностей поиска проблем и устранения проблем, в случае с динамикой длинная цепочка коммуникаций поставщика со своими поставщиками</t>
  </si>
  <si>
    <t>Не дают информацию вовремя + сбор логов + поставщик отвечает долго, в среднем около 5 рабочих дней из-за сложностей поиска проблем, длинной цепочки коммуникаций на стороне партнера (поисковая система + авиакомпания) и устранения проблем</t>
  </si>
  <si>
    <t>Не дают информацию вовремя + сбор логов + время ожидания ответа от поставщика</t>
  </si>
  <si>
    <t>Трудно получить информацию + время ожидания ответа от поставщика + время ожидания ответа от Самософт</t>
  </si>
  <si>
    <t>Настраиваю новые интеграции с системами партнеров (уже существующая, наземное обслуживание)</t>
  </si>
  <si>
    <t>Настраиваю новые интеграции с системами партнеров (новая интеграция, разработка, наземное обслуживание)</t>
  </si>
  <si>
    <t>Трудно получить информацию + время ожидания ответа от поставщика + время ожидания ответа от Самософт + доработка методов поставщиком + разработка интеграции командой Самософт + тестирование</t>
  </si>
  <si>
    <t>Настраиваю новые интеграции с системами партнеров (уже существующая, авиа)</t>
  </si>
  <si>
    <t>Настраиваю новые интеграции с системами партнеров (новая интеграция, разработка, авиа)</t>
  </si>
  <si>
    <t>Трудно получить информацию + время ожидания ответа от поставщика + время ожидания ответа от Самософт + прохождение сертификации + тестирование</t>
  </si>
  <si>
    <t>Трудно получить информацию + время ожидания ответа от поставщика + время ожидания ответа от Самософт + доработка методов поставщиком + разработка интеграции командой Самософт + тестирование + прохождение сертификации</t>
  </si>
  <si>
    <t>Другое + ожидание завершения работ группой тарификации + ожидание завершения работ командой sletat.ru</t>
  </si>
  <si>
    <t>Отсутствие информации + Сложность задачи</t>
  </si>
  <si>
    <t>Другое + горение блоков</t>
  </si>
  <si>
    <t>Контролирую задачи Redmine Самософт</t>
  </si>
  <si>
    <t xml:space="preserve">Другое + сбор логов + ожидание информации от агрегатора + ожидание ответа от Самософт </t>
  </si>
  <si>
    <t>Коломбет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</si>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</sst>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206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209</v>
      </c>
    </row>
    <row r="43" spans="1:2" ht="15.75" customHeight="1" x14ac:dyDescent="0.25">
      <c r="B43" t="s">
        <v>210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tabSelected="1" topLeftCell="E13" zoomScale="70" zoomScaleNormal="70" workbookViewId="0">
      <selection activeCell="L16" activeCellId="3" sqref="C5 R11:R30 P11:P30 L11:L30 N11:N30 J11:J30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3" spans="1:26" x14ac:dyDescent="0.25">
      <c r="B3" s="3" t="s">
        <v>75</v>
      </c>
      <c r="C3" s="32" t="s">
        <v>205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5" t="s">
        <v>56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5" t="s">
        <v>135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2" t="s">
        <v>136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180</v>
      </c>
      <c r="C11" s="14" t="s">
        <v>11</v>
      </c>
      <c r="D11" s="14" t="s">
        <v>29</v>
      </c>
      <c r="E11" s="15" t="s">
        <v>13</v>
      </c>
      <c r="F11" s="13">
        <v>30</v>
      </c>
      <c r="G11" s="7" t="s">
        <v>15</v>
      </c>
      <c r="H11" s="7" t="s">
        <v>186</v>
      </c>
      <c r="I11" s="7" t="s">
        <v>26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164</v>
      </c>
      <c r="U11" s="7" t="s">
        <v>142</v>
      </c>
      <c r="V11" s="8" t="s">
        <v>14</v>
      </c>
      <c r="W11" s="7" t="s">
        <v>137</v>
      </c>
      <c r="X11" s="7" t="s">
        <v>44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21</v>
      </c>
      <c r="E12" s="8" t="s">
        <v>22</v>
      </c>
      <c r="F12" s="7">
        <v>960</v>
      </c>
      <c r="G12" s="7" t="s">
        <v>24</v>
      </c>
      <c r="H12" s="7" t="s">
        <v>189</v>
      </c>
      <c r="I12" s="7" t="s">
        <v>34</v>
      </c>
      <c r="J12" s="8" t="s">
        <v>126</v>
      </c>
      <c r="K12" s="7" t="s">
        <v>155</v>
      </c>
      <c r="L12" s="8" t="s">
        <v>123</v>
      </c>
      <c r="M12" s="7" t="s">
        <v>163</v>
      </c>
      <c r="N12" s="8" t="s">
        <v>124</v>
      </c>
      <c r="O12" s="7" t="s">
        <v>163</v>
      </c>
      <c r="P12" s="8" t="s">
        <v>130</v>
      </c>
      <c r="Q12" s="7" t="s">
        <v>163</v>
      </c>
      <c r="R12" s="8" t="s">
        <v>125</v>
      </c>
      <c r="S12" s="7" t="s">
        <v>163</v>
      </c>
      <c r="T12" s="7" t="s">
        <v>169</v>
      </c>
      <c r="U12" s="7" t="s">
        <v>162</v>
      </c>
      <c r="V12" s="8" t="s">
        <v>23</v>
      </c>
      <c r="W12" s="7" t="s">
        <v>138</v>
      </c>
      <c r="X12" s="7" t="s">
        <v>44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29</v>
      </c>
      <c r="E13" s="8" t="s">
        <v>22</v>
      </c>
      <c r="F13" s="7">
        <v>2400</v>
      </c>
      <c r="G13" s="7" t="s">
        <v>24</v>
      </c>
      <c r="H13" s="7" t="s">
        <v>190</v>
      </c>
      <c r="I13" s="7" t="s">
        <v>34</v>
      </c>
      <c r="J13" s="8" t="s">
        <v>71</v>
      </c>
      <c r="K13" s="7" t="s">
        <v>155</v>
      </c>
      <c r="L13" s="8" t="s">
        <v>71</v>
      </c>
      <c r="M13" s="7" t="s">
        <v>187</v>
      </c>
      <c r="N13" s="8"/>
      <c r="O13" s="7"/>
      <c r="P13" s="8"/>
      <c r="Q13" s="7"/>
      <c r="R13" s="8"/>
      <c r="S13" s="7"/>
      <c r="T13" s="7" t="s">
        <v>169</v>
      </c>
      <c r="U13" s="7" t="s">
        <v>166</v>
      </c>
      <c r="V13" s="8" t="s">
        <v>23</v>
      </c>
      <c r="W13" s="7" t="s">
        <v>50</v>
      </c>
      <c r="X13" s="7" t="s">
        <v>44</v>
      </c>
    </row>
    <row r="14" spans="1:26" ht="39.75" customHeight="1" x14ac:dyDescent="0.25">
      <c r="A14" s="6">
        <v>4</v>
      </c>
      <c r="B14" s="7" t="s">
        <v>141</v>
      </c>
      <c r="C14" s="8" t="s">
        <v>11</v>
      </c>
      <c r="D14" s="8" t="s">
        <v>21</v>
      </c>
      <c r="E14" s="8" t="s">
        <v>13</v>
      </c>
      <c r="F14" s="7">
        <v>240</v>
      </c>
      <c r="G14" s="7" t="s">
        <v>24</v>
      </c>
      <c r="H14" s="7" t="s">
        <v>191</v>
      </c>
      <c r="I14" s="7" t="s">
        <v>26</v>
      </c>
      <c r="J14" s="8" t="s">
        <v>52</v>
      </c>
      <c r="K14" s="7" t="s">
        <v>154</v>
      </c>
      <c r="L14" s="8"/>
      <c r="M14" s="7"/>
      <c r="N14" s="8"/>
      <c r="O14" s="7"/>
      <c r="P14" s="8"/>
      <c r="Q14" s="7"/>
      <c r="R14" s="8"/>
      <c r="S14" s="7"/>
      <c r="T14" s="7" t="s">
        <v>169</v>
      </c>
      <c r="U14" s="7" t="s">
        <v>168</v>
      </c>
      <c r="V14" s="8" t="s">
        <v>23</v>
      </c>
      <c r="W14" s="7" t="s">
        <v>18</v>
      </c>
      <c r="X14" s="7" t="s">
        <v>188</v>
      </c>
    </row>
    <row r="15" spans="1:26" ht="39.75" customHeight="1" x14ac:dyDescent="0.25">
      <c r="A15" s="6">
        <v>5</v>
      </c>
      <c r="B15" s="7" t="s">
        <v>144</v>
      </c>
      <c r="C15" s="8" t="s">
        <v>11</v>
      </c>
      <c r="D15" s="8" t="s">
        <v>12</v>
      </c>
      <c r="E15" s="8" t="s">
        <v>13</v>
      </c>
      <c r="F15" s="7">
        <v>60</v>
      </c>
      <c r="G15" s="7" t="s">
        <v>24</v>
      </c>
      <c r="H15" s="7" t="s">
        <v>48</v>
      </c>
      <c r="I15" s="7" t="s">
        <v>26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170</v>
      </c>
      <c r="U15" s="7" t="s">
        <v>171</v>
      </c>
      <c r="V15" s="8" t="s">
        <v>31</v>
      </c>
      <c r="W15" s="7" t="s">
        <v>18</v>
      </c>
      <c r="X15" s="7" t="s">
        <v>44</v>
      </c>
    </row>
    <row r="16" spans="1:26" ht="39.75" customHeight="1" x14ac:dyDescent="0.25">
      <c r="A16" s="6">
        <v>6</v>
      </c>
      <c r="B16" s="7" t="s">
        <v>143</v>
      </c>
      <c r="C16" s="8" t="s">
        <v>11</v>
      </c>
      <c r="D16" s="8" t="s">
        <v>12</v>
      </c>
      <c r="E16" s="8" t="s">
        <v>13</v>
      </c>
      <c r="F16" s="7">
        <v>60</v>
      </c>
      <c r="G16" s="7" t="s">
        <v>24</v>
      </c>
      <c r="H16" s="7" t="s">
        <v>25</v>
      </c>
      <c r="I16" s="7" t="s">
        <v>146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170</v>
      </c>
      <c r="U16" s="7" t="s">
        <v>167</v>
      </c>
      <c r="V16" s="8" t="s">
        <v>31</v>
      </c>
      <c r="W16" s="7" t="s">
        <v>50</v>
      </c>
      <c r="X16" s="7" t="s">
        <v>44</v>
      </c>
    </row>
    <row r="17" spans="1:24" ht="39.75" customHeight="1" x14ac:dyDescent="0.25">
      <c r="A17" s="6">
        <v>7</v>
      </c>
      <c r="B17" s="7" t="s">
        <v>145</v>
      </c>
      <c r="C17" s="8" t="s">
        <v>11</v>
      </c>
      <c r="D17" s="8" t="s">
        <v>12</v>
      </c>
      <c r="E17" s="8" t="s">
        <v>46</v>
      </c>
      <c r="F17" s="7">
        <v>20</v>
      </c>
      <c r="G17" s="7" t="s">
        <v>15</v>
      </c>
      <c r="H17" s="7" t="s">
        <v>47</v>
      </c>
      <c r="I17" s="7" t="s">
        <v>47</v>
      </c>
      <c r="J17" s="8" t="s">
        <v>72</v>
      </c>
      <c r="K17" s="7" t="s">
        <v>156</v>
      </c>
      <c r="L17" s="8"/>
      <c r="M17" s="7"/>
      <c r="N17" s="8"/>
      <c r="O17" s="7"/>
      <c r="P17" s="8"/>
      <c r="Q17" s="7"/>
      <c r="R17" s="8"/>
      <c r="S17" s="7"/>
      <c r="T17" s="7" t="s">
        <v>172</v>
      </c>
      <c r="U17" s="7" t="s">
        <v>167</v>
      </c>
      <c r="V17" s="8" t="s">
        <v>31</v>
      </c>
      <c r="W17" s="7" t="s">
        <v>35</v>
      </c>
      <c r="X17" s="7" t="s">
        <v>51</v>
      </c>
    </row>
    <row r="18" spans="1:24" ht="39.75" customHeight="1" x14ac:dyDescent="0.25">
      <c r="A18" s="6">
        <v>8</v>
      </c>
      <c r="B18" s="7" t="s">
        <v>147</v>
      </c>
      <c r="C18" s="8" t="s">
        <v>20</v>
      </c>
      <c r="D18" s="8" t="s">
        <v>38</v>
      </c>
      <c r="E18" s="8" t="s">
        <v>46</v>
      </c>
      <c r="F18" s="7">
        <v>120</v>
      </c>
      <c r="G18" s="7" t="s">
        <v>24</v>
      </c>
      <c r="H18" s="7" t="s">
        <v>47</v>
      </c>
      <c r="I18" s="7" t="s">
        <v>34</v>
      </c>
      <c r="J18" s="8" t="s">
        <v>72</v>
      </c>
      <c r="K18" s="7" t="s">
        <v>157</v>
      </c>
      <c r="L18" s="8" t="s">
        <v>126</v>
      </c>
      <c r="M18" s="7" t="s">
        <v>158</v>
      </c>
      <c r="N18" s="8"/>
      <c r="O18" s="7"/>
      <c r="P18" s="8"/>
      <c r="Q18" s="7"/>
      <c r="R18" s="8"/>
      <c r="S18" s="7"/>
      <c r="T18" s="7" t="s">
        <v>172</v>
      </c>
      <c r="U18" s="7" t="s">
        <v>173</v>
      </c>
      <c r="V18" s="8" t="s">
        <v>31</v>
      </c>
      <c r="W18" s="7" t="s">
        <v>18</v>
      </c>
      <c r="X18" s="7" t="s">
        <v>148</v>
      </c>
    </row>
    <row r="19" spans="1:24" ht="39.75" customHeight="1" x14ac:dyDescent="0.25">
      <c r="A19" s="6">
        <v>9</v>
      </c>
      <c r="B19" s="7" t="s">
        <v>193</v>
      </c>
      <c r="C19" s="8" t="s">
        <v>11</v>
      </c>
      <c r="D19" s="8" t="s">
        <v>21</v>
      </c>
      <c r="E19" s="8" t="s">
        <v>46</v>
      </c>
      <c r="F19" s="7">
        <v>960</v>
      </c>
      <c r="G19" s="7" t="s">
        <v>24</v>
      </c>
      <c r="H19" s="7" t="s">
        <v>192</v>
      </c>
      <c r="I19" s="7" t="s">
        <v>26</v>
      </c>
      <c r="J19" s="8" t="s">
        <v>125</v>
      </c>
      <c r="K19" s="7" t="s">
        <v>159</v>
      </c>
      <c r="L19" s="8" t="s">
        <v>123</v>
      </c>
      <c r="M19" s="7" t="s">
        <v>159</v>
      </c>
      <c r="N19" s="8" t="s">
        <v>124</v>
      </c>
      <c r="O19" s="7" t="s">
        <v>159</v>
      </c>
      <c r="P19" s="8" t="s">
        <v>130</v>
      </c>
      <c r="Q19" s="7" t="s">
        <v>159</v>
      </c>
      <c r="R19" s="8"/>
      <c r="S19" s="7"/>
      <c r="T19" s="7" t="s">
        <v>170</v>
      </c>
      <c r="U19" s="7" t="s">
        <v>171</v>
      </c>
      <c r="V19" s="8" t="s">
        <v>14</v>
      </c>
      <c r="W19" s="7" t="s">
        <v>18</v>
      </c>
      <c r="X19" s="7" t="s">
        <v>36</v>
      </c>
    </row>
    <row r="20" spans="1:24" ht="39.75" customHeight="1" x14ac:dyDescent="0.25">
      <c r="A20" s="6">
        <v>10</v>
      </c>
      <c r="B20" s="7" t="s">
        <v>194</v>
      </c>
      <c r="C20" s="8" t="s">
        <v>20</v>
      </c>
      <c r="D20" s="8" t="s">
        <v>38</v>
      </c>
      <c r="E20" s="8" t="s">
        <v>46</v>
      </c>
      <c r="F20" s="7">
        <v>90000</v>
      </c>
      <c r="G20" s="7" t="s">
        <v>24</v>
      </c>
      <c r="H20" s="7" t="s">
        <v>195</v>
      </c>
      <c r="I20" s="7" t="s">
        <v>201</v>
      </c>
      <c r="J20" s="8" t="s">
        <v>125</v>
      </c>
      <c r="K20" s="7" t="s">
        <v>159</v>
      </c>
      <c r="L20" s="8" t="s">
        <v>123</v>
      </c>
      <c r="M20" s="7" t="s">
        <v>159</v>
      </c>
      <c r="N20" s="8" t="s">
        <v>124</v>
      </c>
      <c r="O20" s="7" t="s">
        <v>159</v>
      </c>
      <c r="P20" s="8" t="s">
        <v>130</v>
      </c>
      <c r="Q20" s="7" t="s">
        <v>159</v>
      </c>
      <c r="R20" s="8"/>
      <c r="S20" s="7"/>
      <c r="T20" s="7" t="s">
        <v>170</v>
      </c>
      <c r="U20" s="7" t="s">
        <v>171</v>
      </c>
      <c r="V20" s="8" t="s">
        <v>14</v>
      </c>
      <c r="W20" s="7" t="s">
        <v>18</v>
      </c>
      <c r="X20" s="7" t="s">
        <v>36</v>
      </c>
    </row>
    <row r="21" spans="1:24" ht="39.75" customHeight="1" x14ac:dyDescent="0.25">
      <c r="A21" s="6">
        <v>11</v>
      </c>
      <c r="B21" s="7" t="s">
        <v>196</v>
      </c>
      <c r="C21" s="8" t="s">
        <v>11</v>
      </c>
      <c r="D21" s="8" t="s">
        <v>38</v>
      </c>
      <c r="E21" s="8" t="s">
        <v>46</v>
      </c>
      <c r="F21" s="7">
        <v>30000</v>
      </c>
      <c r="G21" s="7" t="s">
        <v>24</v>
      </c>
      <c r="H21" s="7" t="s">
        <v>198</v>
      </c>
      <c r="I21" s="7" t="s">
        <v>26</v>
      </c>
      <c r="J21" s="8" t="s">
        <v>71</v>
      </c>
      <c r="K21" s="7" t="s">
        <v>160</v>
      </c>
      <c r="L21" s="8"/>
      <c r="M21" s="7"/>
      <c r="N21" s="8"/>
      <c r="O21" s="7"/>
      <c r="P21" s="8"/>
      <c r="Q21" s="7"/>
      <c r="R21" s="8"/>
      <c r="S21" s="7"/>
      <c r="T21" s="7" t="s">
        <v>170</v>
      </c>
      <c r="U21" s="7" t="s">
        <v>166</v>
      </c>
      <c r="V21" s="8" t="s">
        <v>14</v>
      </c>
      <c r="W21" s="7" t="s">
        <v>18</v>
      </c>
      <c r="X21" s="7" t="s">
        <v>36</v>
      </c>
    </row>
    <row r="22" spans="1:24" ht="39.75" customHeight="1" x14ac:dyDescent="0.25">
      <c r="A22" s="6">
        <v>12</v>
      </c>
      <c r="B22" s="7" t="s">
        <v>197</v>
      </c>
      <c r="C22" s="8" t="s">
        <v>20</v>
      </c>
      <c r="D22" s="8" t="s">
        <v>38</v>
      </c>
      <c r="E22" s="8" t="s">
        <v>46</v>
      </c>
      <c r="F22" s="7">
        <v>120000</v>
      </c>
      <c r="G22" s="7" t="s">
        <v>24</v>
      </c>
      <c r="H22" s="7" t="s">
        <v>199</v>
      </c>
      <c r="I22" s="7" t="s">
        <v>201</v>
      </c>
      <c r="J22" s="8" t="s">
        <v>71</v>
      </c>
      <c r="K22" s="7" t="s">
        <v>160</v>
      </c>
      <c r="L22" s="8"/>
      <c r="M22" s="7"/>
      <c r="N22" s="8"/>
      <c r="O22" s="7"/>
      <c r="P22" s="8"/>
      <c r="Q22" s="7"/>
      <c r="R22" s="8"/>
      <c r="S22" s="7"/>
      <c r="T22" s="7" t="s">
        <v>170</v>
      </c>
      <c r="U22" s="7" t="s">
        <v>166</v>
      </c>
      <c r="V22" s="8" t="s">
        <v>14</v>
      </c>
      <c r="W22" s="7" t="s">
        <v>18</v>
      </c>
      <c r="X22" s="7" t="s">
        <v>36</v>
      </c>
    </row>
    <row r="23" spans="1:24" ht="39.75" customHeight="1" x14ac:dyDescent="0.25">
      <c r="A23" s="6">
        <v>13</v>
      </c>
      <c r="B23" s="7" t="s">
        <v>149</v>
      </c>
      <c r="C23" s="8" t="s">
        <v>20</v>
      </c>
      <c r="D23" s="8" t="s">
        <v>38</v>
      </c>
      <c r="E23" s="8" t="s">
        <v>46</v>
      </c>
      <c r="F23" s="7">
        <v>300</v>
      </c>
      <c r="G23" s="7" t="s">
        <v>47</v>
      </c>
      <c r="H23" s="7" t="s">
        <v>16</v>
      </c>
      <c r="I23" s="7" t="s">
        <v>34</v>
      </c>
      <c r="J23" s="8"/>
      <c r="K23" s="7"/>
      <c r="L23" s="8"/>
      <c r="M23" s="7"/>
      <c r="N23" s="8"/>
      <c r="O23" s="7"/>
      <c r="P23" s="8"/>
      <c r="Q23" s="7"/>
      <c r="R23" s="8"/>
      <c r="S23" s="7"/>
      <c r="T23" s="7" t="s">
        <v>175</v>
      </c>
      <c r="U23" s="7"/>
      <c r="V23" s="8" t="s">
        <v>14</v>
      </c>
      <c r="W23" s="7" t="s">
        <v>27</v>
      </c>
      <c r="X23" s="7" t="s">
        <v>36</v>
      </c>
    </row>
    <row r="24" spans="1:24" ht="39.75" customHeight="1" x14ac:dyDescent="0.25">
      <c r="A24" s="6">
        <v>14</v>
      </c>
      <c r="B24" s="7" t="s">
        <v>183</v>
      </c>
      <c r="C24" s="8" t="s">
        <v>20</v>
      </c>
      <c r="D24" s="8" t="s">
        <v>38</v>
      </c>
      <c r="E24" s="8" t="s">
        <v>46</v>
      </c>
      <c r="F24" s="7">
        <v>600</v>
      </c>
      <c r="G24" s="7" t="s">
        <v>47</v>
      </c>
      <c r="H24" s="7" t="s">
        <v>16</v>
      </c>
      <c r="I24" s="7" t="s">
        <v>34</v>
      </c>
      <c r="J24" s="8"/>
      <c r="K24" s="7"/>
      <c r="L24" s="8"/>
      <c r="M24" s="7"/>
      <c r="N24" s="8"/>
      <c r="O24" s="7"/>
      <c r="P24" s="8"/>
      <c r="Q24" s="7"/>
      <c r="R24" s="8"/>
      <c r="S24" s="7"/>
      <c r="T24" s="7" t="s">
        <v>174</v>
      </c>
      <c r="U24" s="7"/>
      <c r="V24" s="8" t="s">
        <v>14</v>
      </c>
      <c r="W24" s="7" t="s">
        <v>27</v>
      </c>
      <c r="X24" s="7" t="s">
        <v>36</v>
      </c>
    </row>
    <row r="25" spans="1:24" ht="39.75" customHeight="1" x14ac:dyDescent="0.25">
      <c r="A25" s="6">
        <v>15</v>
      </c>
      <c r="B25" s="7" t="s">
        <v>150</v>
      </c>
      <c r="C25" s="8" t="s">
        <v>11</v>
      </c>
      <c r="D25" s="8" t="s">
        <v>12</v>
      </c>
      <c r="E25" s="8" t="s">
        <v>46</v>
      </c>
      <c r="F25" s="7">
        <v>300</v>
      </c>
      <c r="G25" s="7" t="s">
        <v>15</v>
      </c>
      <c r="H25" s="7" t="s">
        <v>16</v>
      </c>
      <c r="I25" s="7" t="s">
        <v>17</v>
      </c>
      <c r="J25" s="8" t="s">
        <v>125</v>
      </c>
      <c r="K25" s="7" t="s">
        <v>161</v>
      </c>
      <c r="L25" s="8" t="s">
        <v>123</v>
      </c>
      <c r="M25" s="7" t="s">
        <v>161</v>
      </c>
      <c r="N25" s="8" t="s">
        <v>124</v>
      </c>
      <c r="O25" s="7" t="s">
        <v>161</v>
      </c>
      <c r="P25" s="8" t="s">
        <v>130</v>
      </c>
      <c r="Q25" s="7" t="s">
        <v>161</v>
      </c>
      <c r="R25" s="8"/>
      <c r="S25" s="7"/>
      <c r="T25" s="7" t="s">
        <v>179</v>
      </c>
      <c r="U25" s="7" t="s">
        <v>151</v>
      </c>
      <c r="V25" s="8" t="s">
        <v>14</v>
      </c>
      <c r="W25" s="7" t="s">
        <v>35</v>
      </c>
      <c r="X25" s="7" t="s">
        <v>51</v>
      </c>
    </row>
    <row r="26" spans="1:24" ht="39.75" customHeight="1" x14ac:dyDescent="0.25">
      <c r="A26" s="6">
        <v>16</v>
      </c>
      <c r="B26" s="7" t="s">
        <v>152</v>
      </c>
      <c r="C26" s="8" t="s">
        <v>20</v>
      </c>
      <c r="D26" s="8" t="s">
        <v>38</v>
      </c>
      <c r="E26" s="8" t="s">
        <v>46</v>
      </c>
      <c r="F26" s="7">
        <v>240</v>
      </c>
      <c r="G26" s="7" t="s">
        <v>15</v>
      </c>
      <c r="H26" s="7" t="s">
        <v>47</v>
      </c>
      <c r="I26" s="7" t="s">
        <v>34</v>
      </c>
      <c r="J26" s="8"/>
      <c r="K26" s="7"/>
      <c r="L26" s="8"/>
      <c r="M26" s="7"/>
      <c r="N26" s="8"/>
      <c r="O26" s="7"/>
      <c r="P26" s="8"/>
      <c r="Q26" s="7"/>
      <c r="R26" s="8"/>
      <c r="S26" s="7"/>
      <c r="T26" s="7" t="s">
        <v>178</v>
      </c>
      <c r="U26" s="7"/>
      <c r="V26" s="8" t="s">
        <v>14</v>
      </c>
      <c r="W26" s="7" t="s">
        <v>47</v>
      </c>
      <c r="X26" s="7" t="s">
        <v>36</v>
      </c>
    </row>
    <row r="27" spans="1:24" ht="39.75" customHeight="1" x14ac:dyDescent="0.25">
      <c r="A27" s="6">
        <v>17</v>
      </c>
      <c r="B27" s="7" t="s">
        <v>153</v>
      </c>
      <c r="C27" s="8" t="s">
        <v>20</v>
      </c>
      <c r="D27" s="8" t="s">
        <v>38</v>
      </c>
      <c r="E27" s="8" t="s">
        <v>46</v>
      </c>
      <c r="F27" s="7">
        <v>30</v>
      </c>
      <c r="G27" s="7" t="s">
        <v>15</v>
      </c>
      <c r="H27" s="7" t="s">
        <v>47</v>
      </c>
      <c r="I27" s="7" t="s">
        <v>34</v>
      </c>
      <c r="J27" s="8"/>
      <c r="K27" s="7"/>
      <c r="L27" s="8"/>
      <c r="M27" s="7"/>
      <c r="N27" s="8"/>
      <c r="O27" s="7"/>
      <c r="P27" s="8"/>
      <c r="Q27" s="7"/>
      <c r="R27" s="8"/>
      <c r="S27" s="7"/>
      <c r="T27" s="7" t="s">
        <v>178</v>
      </c>
      <c r="U27" s="7"/>
      <c r="V27" s="8" t="s">
        <v>14</v>
      </c>
      <c r="W27" s="7" t="s">
        <v>47</v>
      </c>
      <c r="X27" s="7" t="s">
        <v>36</v>
      </c>
    </row>
    <row r="28" spans="1:24" ht="39.75" customHeight="1" x14ac:dyDescent="0.25">
      <c r="A28" s="6">
        <v>18</v>
      </c>
      <c r="B28" s="7" t="s">
        <v>176</v>
      </c>
      <c r="C28" s="8" t="s">
        <v>11</v>
      </c>
      <c r="D28" s="8" t="s">
        <v>21</v>
      </c>
      <c r="E28" s="8" t="s">
        <v>46</v>
      </c>
      <c r="F28" s="7">
        <v>720</v>
      </c>
      <c r="G28" s="7" t="s">
        <v>15</v>
      </c>
      <c r="H28" s="7" t="s">
        <v>200</v>
      </c>
      <c r="I28" s="7" t="s">
        <v>42</v>
      </c>
      <c r="J28" s="8" t="s">
        <v>126</v>
      </c>
      <c r="K28" s="7" t="s">
        <v>177</v>
      </c>
      <c r="L28" s="8"/>
      <c r="M28" s="7"/>
      <c r="N28" s="8"/>
      <c r="O28" s="7"/>
      <c r="P28" s="8"/>
      <c r="Q28" s="7"/>
      <c r="R28" s="8"/>
      <c r="S28" s="7"/>
      <c r="T28" s="7" t="s">
        <v>165</v>
      </c>
      <c r="U28" s="7"/>
      <c r="V28" s="8" t="s">
        <v>14</v>
      </c>
      <c r="W28" s="7" t="s">
        <v>18</v>
      </c>
      <c r="X28" s="7" t="s">
        <v>36</v>
      </c>
    </row>
    <row r="29" spans="1:24" ht="39.75" customHeight="1" x14ac:dyDescent="0.25">
      <c r="A29" s="6">
        <v>19</v>
      </c>
      <c r="B29" s="7" t="s">
        <v>203</v>
      </c>
      <c r="C29" s="8" t="s">
        <v>11</v>
      </c>
      <c r="D29" s="8" t="s">
        <v>12</v>
      </c>
      <c r="E29" s="8" t="s">
        <v>13</v>
      </c>
      <c r="F29" s="7">
        <v>60</v>
      </c>
      <c r="G29" s="7" t="s">
        <v>24</v>
      </c>
      <c r="H29" s="7" t="s">
        <v>181</v>
      </c>
      <c r="I29" s="7" t="s">
        <v>182</v>
      </c>
      <c r="J29" s="8"/>
      <c r="K29" s="7"/>
      <c r="L29" s="8"/>
      <c r="M29" s="7"/>
      <c r="N29" s="8"/>
      <c r="O29" s="7"/>
      <c r="P29" s="8"/>
      <c r="Q29" s="7"/>
      <c r="R29" s="8"/>
      <c r="S29" s="7"/>
      <c r="T29" s="7" t="s">
        <v>165</v>
      </c>
      <c r="U29" s="7" t="s">
        <v>142</v>
      </c>
      <c r="V29" s="8" t="s">
        <v>23</v>
      </c>
      <c r="W29" s="7" t="s">
        <v>50</v>
      </c>
      <c r="X29" s="7" t="s">
        <v>44</v>
      </c>
    </row>
    <row r="30" spans="1:24" ht="39.75" customHeight="1" x14ac:dyDescent="0.25">
      <c r="A30" s="6">
        <v>20</v>
      </c>
      <c r="B30" s="7" t="s">
        <v>184</v>
      </c>
      <c r="C30" s="8" t="s">
        <v>11</v>
      </c>
      <c r="D30" s="8" t="s">
        <v>38</v>
      </c>
      <c r="E30" s="8" t="s">
        <v>46</v>
      </c>
      <c r="F30" s="7">
        <v>90</v>
      </c>
      <c r="G30" s="7" t="s">
        <v>24</v>
      </c>
      <c r="H30" s="7" t="s">
        <v>204</v>
      </c>
      <c r="I30" s="7" t="s">
        <v>34</v>
      </c>
      <c r="J30" s="8"/>
      <c r="K30" s="7"/>
      <c r="L30" s="8"/>
      <c r="M30" s="7"/>
      <c r="N30" s="8"/>
      <c r="O30" s="7"/>
      <c r="P30" s="8"/>
      <c r="Q30" s="7"/>
      <c r="R30" s="8"/>
      <c r="S30" s="7"/>
      <c r="T30" s="7" t="s">
        <v>172</v>
      </c>
      <c r="U30" s="7" t="s">
        <v>185</v>
      </c>
      <c r="V30" s="8" t="s">
        <v>14</v>
      </c>
      <c r="W30" s="7" t="s">
        <v>27</v>
      </c>
      <c r="X30" s="7" t="s">
        <v>202</v>
      </c>
    </row>
    <row r="31" spans="1:24" ht="15.75" customHeight="1" x14ac:dyDescent="0.25"/>
    <row r="32" spans="1:24" ht="15.75" customHeight="1" x14ac:dyDescent="0.25">
      <c r="A32" s="9" t="s">
        <v>103</v>
      </c>
    </row>
    <row r="33" spans="1:5" ht="15.75" customHeight="1" x14ac:dyDescent="0.25">
      <c r="A33" s="10" t="s">
        <v>104</v>
      </c>
      <c r="B33" s="29" t="e">
        <f ca="1">Выпадающий список(ТОЛЬКО из списка)</f>
        <v>#NAME?</v>
      </c>
      <c r="C33" s="30"/>
      <c r="D33" s="30"/>
      <c r="E33" s="30"/>
    </row>
    <row r="34" spans="1:5" ht="15.75" customHeight="1" x14ac:dyDescent="0.25">
      <c r="A34" s="11" t="s">
        <v>105</v>
      </c>
      <c r="B34" s="29" t="e">
        <f>Можно выбрать из списка ИЛИ написать своё</f>
        <v>#NAME?</v>
      </c>
      <c r="C34" s="30"/>
      <c r="D34" s="30"/>
      <c r="E34" s="30"/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8">
    <mergeCell ref="B33:E33"/>
    <mergeCell ref="B34:E34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E11:E30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G11:G30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V11:V30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I11:I30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D11:D30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C11:C30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R11:R30 P11:P30 L11:L30 N11:N30 J11:J30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H11:H30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W11:W30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X11:X30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2026-01-26T07:49:35Z</dcterms:modified>
</cp:coreProperties>
</file>