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CCC18CBB-DF8A-49BC-9AF8-3D62AE8192F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31" i="2" l="1"/>
  <c r="B30" i="2"/>
</calcChain>
</file>

<file path=xl/sharedStrings.xml><?xml version="1.0" encoding="utf-8"?>
<sst xmlns="http://schemas.openxmlformats.org/spreadsheetml/2006/main" count="344" uniqueCount="203">
  <si>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</si>
  <si>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</si>
  <si>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</si>
  <si>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</si>
  <si>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</si>
  <si>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</si>
  <si>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</si>
  <si>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</si>
  <si>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</si>
  <si>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</si>
  <si>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</si>
  <si>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</si>
  <si>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</si>
  <si>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</si>
  <si>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</si>
  <si>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</si>
  <si>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</si>
  <si>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</si>
  <si>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</si>
  <si>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</si>
  <si>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</si>
  <si>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</si>
  <si>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</si>
  <si>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</si>
  <si>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</si>
  <si>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</si>
  <si>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</si>
  <si>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</si>
  <si>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</si>
  <si>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</si>
  <si>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</si>
  <si>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</si>
  <si>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</si>
  <si>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</si>
  <si>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</si>
  <si>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</si>
  <si>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</si>
  <si>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</si>
  <si>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</si>
  <si>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</si>
  <si>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</si>
  <si>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</si>
  <si>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</si>
  <si>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</si>
  <si>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</si>
  <si>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</si>
  <si>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</si>
  <si>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</si>
  <si>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</si>
  <si>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</si>
  <si>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</si>
  <si>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</si>
  <si>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</si>
  <si>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</si>
  <si>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</si>
  <si>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</si>
  <si>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</si>
  <si>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</si>
  <si>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</si>
  <si>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</si>
  <si>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</si>
  <si>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</si>
  <si>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</si>
  <si>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</si>
  <si>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</si>
  <si>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</si>
  <si>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</si>
  <si>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</si>
  <si>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</si>
  <si>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</si>
  <si>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</si>
  <si>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</si>
  <si>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</si>
  <si>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</si>
  <si>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</si>
  <si>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</si>
  <si>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</si>
  <si>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</si>
  <si>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</si>
  <si>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</si>
  <si>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</si>
  <si>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</si>
  <si>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</si>
  <si>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</si>
  <si>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</si>
  <si>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</si>
  <si>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</si>
  <si>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</si>
  <si>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</si>
  <si>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</si>
  <si>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</si>
  <si>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</si>
  <si>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</si>
  <si>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</si>
  <si>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</si>
  <si>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</si>
  <si>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</si>
  <si>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</si>
  <si>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</si>
  <si>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</si>
  <si>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</si>
  <si>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</si>
  <si>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</si>
  <si>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</si>
  <si>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</si>
  <si>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</si>
  <si>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</si>
  <si>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</si>
  <si>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</si>
  <si>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</si>
  <si>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</si>
  <si>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</si>
  <si>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</si>
  <si>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</si>
  <si>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</si>
  <si>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</si>
  <si>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</si>
  <si>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</si>
  <si>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</si>
  <si>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</si>
  <si>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</si>
  <si>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</si>
  <si>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</si>
  <si>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</si>
  <si>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</si>
  <si>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</si>
  <si>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</si>
  <si>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</si>
  <si>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</si>
  <si>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</si>
  <si>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</si>
  <si>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</si>
  <si>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</si>
  <si>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</si>
  <si>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</si>
  <si>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</si>
  <si>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Департамент маркетинга и рекламы</t>
  </si>
  <si>
    <t>Ведущий менеджер</t>
  </si>
  <si>
    <t xml:space="preserve">составляю маркетинговый план для проведения рекламной кампании </t>
  </si>
  <si>
    <t>запрос от партнера может поступить посредством данного отдела</t>
  </si>
  <si>
    <t>согласовываю маркетинговые планы</t>
  </si>
  <si>
    <t>Другое + предоставляю партнеру маркетинговый план; получаю обратную связь; в случае необходимости - вношу корректировки на основе комментариев и предложений; получаю согласование от партнера; запускаю рекламную кампанию исходя из заявленного периода</t>
  </si>
  <si>
    <t>контролирую получение оплаты за проведение рекламной кампании</t>
  </si>
  <si>
    <t>взаимодействую с партнерами Space Travel (отели, отельные сети, офисы по туризму, DMC,  страховые компании)</t>
  </si>
  <si>
    <t>Другое + согласовываю с партнером способ оплаты; запрашиваю реквизиты для выставления инвойса; запрашиваю у профильного отдела инвойс; получаю информацию об оплате рекламной кампании. Если была оплата путем бартерного соглашения, то: заполняю бартерное соглашение; высылаю партнеру для подписи; вношу в таблицу</t>
  </si>
  <si>
    <t>если способ оплаты - бартер, то запрашиваем возможность такого способа оплаты</t>
  </si>
  <si>
    <t>выполняю маркетинговые обязательства перед партнером (баннеры, рассылки, вебинары, новости на сайте, вебинары и т.д.)</t>
  </si>
  <si>
    <t>запрос на подготовку макетов; контроль за процессом задачи и креативов; высылаю на согласование партнеру; прошу внести корректировки при необходимости, публикуется активность
вебинар: оповещаю о проведении вебинара, проводят тестовое подключение, проводят вебинар в день его проведения; подготавливают статистику слушателей</t>
  </si>
  <si>
    <t>получаю договоры от партнеров для проведения рекламной кампании</t>
  </si>
  <si>
    <t>Другое + получаю от партнера договор для проведения рекламной кампании; согласовываю с профильным отделом; высылаю партнеру; ставим печать и подпись, регистрируем договор</t>
  </si>
  <si>
    <t xml:space="preserve">Другое + продолжительное согласование </t>
  </si>
  <si>
    <t xml:space="preserve">Другое + не устраивают те или иные  пункты в договоре </t>
  </si>
  <si>
    <t>подготавливаю маркетинговые соглашения</t>
  </si>
  <si>
    <t xml:space="preserve">Другое + подготавливаю соглашения для рекламной кампании; вношу все необходимые данные </t>
  </si>
  <si>
    <t>в случае активности, связанной со СМИ, высылаю коллегам всю информацию, подготавливаем необходимые материалы, согласовываем с партнером, публикуем активность, предоставляем скриншот проделанной активности, проводим анализ эффективности</t>
  </si>
  <si>
    <t>Другое + запрашиваю всю необходимую информацию для определенной активности:  медиатеку и информацию для выполнения активности; пишу тексты и подбираю фото;  ставлю задачу профильному отделу; контролирую процесс выполнения; высылаю на согласование партнеру; публикуется активность; предоставляю партнеру скриншот проделанной активности. 
Вебинар: согласовываю дату вебинара; подготавливаю с партнером анонс на сайт, презентацию, видео; договариваюсь о тестовом подключении, контролирую проведение вебинара; высылаю статистику слушателей и т.д.
СМИ активности: запрашиваю информацию у партнера; подготавливаем нужный материал; высылаем на согласование, публикуем активность; высылаем скриншот</t>
  </si>
  <si>
    <t>подготавливаю отчет по завершению рекламной кампании</t>
  </si>
  <si>
    <t>Другое + собираю все активности в единый отчет с предоставлением KPI; отправляю партнеру</t>
  </si>
  <si>
    <t>запрос на предоставление инвойса, сверка поступление денежных средств через иностранных поставщиков, оповещаем о заключении бартерного соглашения, поступление информации о списании бартера, контролируют соблюдения сроков и списания денежных средств согласно нему</t>
  </si>
  <si>
    <t xml:space="preserve">Взаимодействую со стороними площадками по размещению рекламы (Sletat.ru, Profi.Travel, АТОР, Тонкости Туризма и т.д.) </t>
  </si>
  <si>
    <t>Другое + провожу анализ  доступных ресурсов для проведения кампании исходя из бюджета партнера; определяю оптимальный период для ее проведения или исхожу из запрашиваемого периода от партнера; расчитываю стоимость; определяю KPI.</t>
  </si>
  <si>
    <t xml:space="preserve">запрос на оплату счета от отдела рекламы; добавление в трекер; постановка оплаты счета: отправка письма со счетом на почту бухгалтерии; отслеживание оплаты; отправка платежного поручения стороней площадке </t>
  </si>
  <si>
    <t>запрос на подготовку макетов; контроль за процессом задачи и креативов; высылаю на согласование партнеру; прошу внести корректировки при необходимости, отправляю площадке креативы</t>
  </si>
  <si>
    <t>предоставляю статистику по туристам для партнеров</t>
  </si>
  <si>
    <t xml:space="preserve">Другое + получаю запрос от партнера о предоставлении статистики согласно их шаблону; запрашиваю у профильного отдела; предоставляю партнеру </t>
  </si>
  <si>
    <t xml:space="preserve">прошу предоставить статистику согласно запросу от партнера </t>
  </si>
  <si>
    <t>может от  этого отдела поступить запрос о продвижении продукта</t>
  </si>
  <si>
    <t>Другое + запрашиваю свободные слоты для размещения; согласовываю даты и спец стоимость; получаю счет и отправляю на оплату; отслеживаю поступление оплаты;  отслеживаю график активностей в срок; готовлю креативы; согласовываю с партнерами; отправляю стороней площадке; отслеживаю публикацию; делаю скриншот; отправляю партнеру</t>
  </si>
  <si>
    <t>организовываю мероприятия совместно с партнерами</t>
  </si>
  <si>
    <t xml:space="preserve">получает и набиарет: Региональный офис начинает набор агентов на мероприятие с конкретной датой и временем. Отдел по работе с ключевыми клиентами/ Региональный офис проверяет материалы на ноутбуке который будет присутствовать на мероприятии. Контролируют корректное выведение презентаци на экран, а также агентов (встреча, проводы, вступительное слово, вопросы). Отдел по работе с ключевыми клиентами/ Региональный офис предоставляет списки агентов-участников. </t>
  </si>
  <si>
    <t>ТЗ на оплату согласованных счетов для оплаты площадки/ подрядчиков, предоставляют платежное порчуение</t>
  </si>
  <si>
    <t xml:space="preserve">ТЗ на предоставление инвойсов для того, чтобы партнер оплатил проведение мероприятия </t>
  </si>
  <si>
    <t>получает ТЗ о брендирование и полиграфию (брендированная фотозона, меню, номера на столы, награды и т.п.), а также диджитал брендинг, а также подбирает подрядчиков, подготавливает макет на согласование с партнерами, который согласовыет с ними Отдел рекламы. Подготавливает материалы к публикации отчетов в соц. сетях Space Travel.</t>
  </si>
  <si>
    <t>Другое + получаю запрос на проведение мероприятия от партнера; оцениваю возможности и ресурсы для проведения мерприятия; подбираю даты и города; согласовываю с партнерами; подбираю площадки и подрядчиков для проведения мероприятия (оборудование, музыканты, фотограф, ведущий, кондитер и т.д.); обсуждаю с партнерами варианты площадок и согласовываю вариант; выставляю счет партнеру; запрашиваю анонс для выступления и материал; составляю программу мероприятия и согласовываю ее; согласовываю договора с подрядчиками и Юристом по ТЗ от отдела рекламы, контролирую подписания документов, контролирую поступление оплаты от партнеров и проведения оплаты подрядчикам; даю ТЗ на набор агентов; даю ТЗ на все креативы, полиграфию, макеты для фотозоны и согласовываю с партнерами; контролирую мероприятие в день его назначения (площадка, все подрядчики от музыканта и фотографа до своевременной установки фотозона, ведущего), получаю фотоотчет от фотографа, списки агентов-участников, а также обратную связь от партнеров по итогам мероприятия.</t>
  </si>
  <si>
    <t>подготовливаю новогодние подарки для партнеров компании и агентов</t>
  </si>
  <si>
    <t xml:space="preserve">Другое +  подбираю несколько вариантов новогодних подарков по 3 категориям: VIP, стандарт, символический; формирую предложение с указанием стоимости и подрядчика; собираю новогодние подарки, подготавливаю их к отправке в регионы; подготавливаю новогодние подарки для коллег из Московского офиса, контролируем таблицу и выдачу подарков </t>
  </si>
  <si>
    <t>Руководители структурных подразделений заполняют свои пожелания по новогодним подаркам.</t>
  </si>
  <si>
    <t>заводит таблицу Google по новогодним подаркам.</t>
  </si>
  <si>
    <t xml:space="preserve">Ищу спонсора на мероприятия </t>
  </si>
  <si>
    <t>Другое + получаю ТЗ на поиск спонсоров; составляю письмо со всеми данными для партнера (где мероприятие, дата и время, смысл его участия, сумма); даю ТЗ на подготовку красочной презентации; выхожу с предложением партнеру; исходя из положительного ответа выставляю счет; фиксирую его участие;  запрашиваю материал (лого, видео, презентацию); контролирую процесс оплаты</t>
  </si>
  <si>
    <t>подготавливают красочную презентацию</t>
  </si>
  <si>
    <t xml:space="preserve">занимаюсь документооборотом </t>
  </si>
  <si>
    <t>Другое + подготавливаю договор об оказании услуг маркетинговых активостей, в случае если оплата была произведена в рублях; согласовываю с юристом; высылаю в профильный отдел</t>
  </si>
  <si>
    <t>отдел рекламы высылаем готовый договор со всеми приложениями, где прописаны суммы и НДС</t>
  </si>
  <si>
    <t>Другое + взаимодействую с партнерами по вопросу маркетинга, продаю  маркетинговые активности, обсуждаю все детали для будущего сотрудничества</t>
  </si>
  <si>
    <t>What's app, Max, Telegram, мессенджеры</t>
  </si>
  <si>
    <t>почта, база данных по партнёрам ST</t>
  </si>
  <si>
    <t>Маркетинговый кит Space Travel</t>
  </si>
  <si>
    <t>почта</t>
  </si>
  <si>
    <t>Другое + нет возможности для автоматизации (индивидуальный подход)</t>
  </si>
  <si>
    <t>Другое  + нет возможности для автоматизации (индивидуальный подход)</t>
  </si>
  <si>
    <t xml:space="preserve">Люманова </t>
  </si>
  <si>
    <t>Взаимодействие с юристом. Запрос на проверку и согласование договора; внесение корректировок; согласование</t>
  </si>
  <si>
    <t>Взаимодействие с офис менеджером. Офис-менеджер регистрирует договор в системе</t>
  </si>
  <si>
    <t>Взаимодействие с юристом. Согласование договора со сторонней площадкой Юристом по ТЗ от отдела рекламы. Контроль подписания документов</t>
  </si>
  <si>
    <t>Взаимодействие с юристом. ТЗ на согласование договора с подрядчиками Юристом по ТЗ от отдела рекламы.</t>
  </si>
  <si>
    <t>Группа по привлечению агенств</t>
  </si>
  <si>
    <t>Департамент HR</t>
  </si>
  <si>
    <t xml:space="preserve">Взаимодействие с юристом. согласовывает договора </t>
  </si>
  <si>
    <t>Взаимодействие с помошником генерального дирекора. помогает доставить подарки в региональные офисы; передает волдителям для доставки, логистику</t>
  </si>
  <si>
    <t>Департамент финансов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</si>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</sst>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197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200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196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197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201</v>
      </c>
    </row>
    <row r="43" spans="1:2" ht="15.75" customHeight="1" x14ac:dyDescent="0.25">
      <c r="B43" t="s">
        <v>202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abSelected="1" topLeftCell="F1" workbookViewId="0">
      <selection activeCell="J11" activeCellId="2" sqref="C5 L11:L27 J11:J27 N11:N27 P11:P27 R11:R27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71" customWidth="1"/>
    <col min="8" max="9" width="15" customWidth="1"/>
    <col min="10" max="10" width="20" customWidth="1"/>
    <col min="11" max="11" width="35.5703125" customWidth="1"/>
    <col min="12" max="12" width="20" customWidth="1"/>
    <col min="13" max="13" width="41" customWidth="1"/>
    <col min="14" max="14" width="20" customWidth="1"/>
    <col min="15" max="15" width="41.285156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3" width="29.7109375" customWidth="1"/>
    <col min="24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191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136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61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137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85.5" customHeight="1" x14ac:dyDescent="0.25">
      <c r="A11" s="6">
        <v>1</v>
      </c>
      <c r="B11" s="13" t="s">
        <v>143</v>
      </c>
      <c r="C11" s="14" t="s">
        <v>11</v>
      </c>
      <c r="D11" s="14" t="s">
        <v>12</v>
      </c>
      <c r="E11" s="15" t="s">
        <v>13</v>
      </c>
      <c r="F11" s="13">
        <v>480</v>
      </c>
      <c r="G11" s="7" t="s">
        <v>184</v>
      </c>
      <c r="H11" s="7"/>
      <c r="I11" s="7"/>
      <c r="J11" s="8" t="s">
        <v>135</v>
      </c>
      <c r="K11" s="7"/>
      <c r="L11" s="8"/>
      <c r="M11" s="7"/>
      <c r="N11" s="8"/>
      <c r="O11" s="7"/>
      <c r="P11" s="8"/>
      <c r="Q11" s="7"/>
      <c r="R11" s="8"/>
      <c r="S11" s="7"/>
      <c r="T11" s="7" t="s">
        <v>186</v>
      </c>
      <c r="U11" s="7" t="s">
        <v>185</v>
      </c>
      <c r="V11" s="8" t="s">
        <v>14</v>
      </c>
      <c r="W11" s="7" t="s">
        <v>189</v>
      </c>
      <c r="X11" s="7"/>
    </row>
    <row r="12" spans="1:26" ht="124.5" customHeight="1" x14ac:dyDescent="0.25">
      <c r="A12" s="6">
        <v>2</v>
      </c>
      <c r="B12" s="7" t="s">
        <v>138</v>
      </c>
      <c r="C12" s="8" t="s">
        <v>11</v>
      </c>
      <c r="D12" s="8" t="s">
        <v>29</v>
      </c>
      <c r="E12" s="8" t="s">
        <v>13</v>
      </c>
      <c r="F12" s="7">
        <v>180</v>
      </c>
      <c r="G12" s="7" t="s">
        <v>160</v>
      </c>
      <c r="H12" s="7"/>
      <c r="I12" s="7"/>
      <c r="J12" s="8" t="s">
        <v>123</v>
      </c>
      <c r="K12" s="7" t="s">
        <v>139</v>
      </c>
      <c r="L12" s="8" t="s">
        <v>124</v>
      </c>
      <c r="M12" s="7" t="s">
        <v>139</v>
      </c>
      <c r="N12" s="8" t="s">
        <v>125</v>
      </c>
      <c r="O12" s="7" t="s">
        <v>139</v>
      </c>
      <c r="P12" s="8" t="s">
        <v>130</v>
      </c>
      <c r="Q12" s="7" t="s">
        <v>139</v>
      </c>
      <c r="R12" s="8"/>
      <c r="S12" s="7"/>
      <c r="T12" s="7" t="s">
        <v>187</v>
      </c>
      <c r="U12" s="7"/>
      <c r="V12" s="8" t="s">
        <v>14</v>
      </c>
      <c r="W12" s="7" t="s">
        <v>189</v>
      </c>
      <c r="X12" s="7"/>
    </row>
    <row r="13" spans="1:26" ht="100.5" customHeight="1" x14ac:dyDescent="0.25">
      <c r="A13" s="6">
        <v>3</v>
      </c>
      <c r="B13" s="7" t="s">
        <v>140</v>
      </c>
      <c r="C13" s="8" t="s">
        <v>11</v>
      </c>
      <c r="D13" s="8" t="s">
        <v>29</v>
      </c>
      <c r="E13" s="8" t="s">
        <v>13</v>
      </c>
      <c r="F13" s="7">
        <v>480</v>
      </c>
      <c r="G13" s="7" t="s">
        <v>141</v>
      </c>
      <c r="H13" s="7"/>
      <c r="I13" s="7"/>
      <c r="J13" s="8" t="s">
        <v>135</v>
      </c>
      <c r="K13" s="7"/>
      <c r="L13" s="8"/>
      <c r="M13" s="7"/>
      <c r="N13" s="8"/>
      <c r="O13" s="7"/>
      <c r="P13" s="8"/>
      <c r="Q13" s="7"/>
      <c r="R13" s="8"/>
      <c r="S13" s="7"/>
      <c r="T13" s="7" t="s">
        <v>186</v>
      </c>
      <c r="U13" s="7" t="s">
        <v>185</v>
      </c>
      <c r="V13" s="8" t="s">
        <v>14</v>
      </c>
      <c r="W13" s="7" t="s">
        <v>190</v>
      </c>
      <c r="X13" s="7"/>
    </row>
    <row r="14" spans="1:26" ht="100.5" customHeight="1" x14ac:dyDescent="0.25">
      <c r="A14" s="6">
        <v>4</v>
      </c>
      <c r="B14" s="7" t="s">
        <v>152</v>
      </c>
      <c r="C14" s="8" t="s">
        <v>11</v>
      </c>
      <c r="D14" s="8" t="s">
        <v>29</v>
      </c>
      <c r="E14" s="8" t="s">
        <v>46</v>
      </c>
      <c r="F14" s="7">
        <v>60</v>
      </c>
      <c r="G14" s="7" t="s">
        <v>153</v>
      </c>
      <c r="H14" s="7"/>
      <c r="I14" s="7"/>
      <c r="J14" s="8" t="s">
        <v>135</v>
      </c>
      <c r="K14" s="7"/>
      <c r="L14" s="8"/>
      <c r="M14" s="7"/>
      <c r="N14" s="8"/>
      <c r="O14" s="7"/>
      <c r="P14" s="8"/>
      <c r="Q14" s="7"/>
      <c r="R14" s="8"/>
      <c r="S14" s="7"/>
      <c r="T14" s="7" t="s">
        <v>188</v>
      </c>
      <c r="U14" s="7"/>
      <c r="V14" s="8" t="s">
        <v>14</v>
      </c>
      <c r="W14" s="7" t="s">
        <v>190</v>
      </c>
      <c r="X14" s="7"/>
    </row>
    <row r="15" spans="1:26" ht="100.5" customHeight="1" x14ac:dyDescent="0.25">
      <c r="A15" s="6">
        <v>5</v>
      </c>
      <c r="B15" s="7" t="s">
        <v>148</v>
      </c>
      <c r="C15" s="8" t="s">
        <v>20</v>
      </c>
      <c r="D15" s="8" t="s">
        <v>21</v>
      </c>
      <c r="E15" s="8" t="s">
        <v>46</v>
      </c>
      <c r="F15" s="7">
        <v>480</v>
      </c>
      <c r="G15" s="7" t="s">
        <v>149</v>
      </c>
      <c r="H15" s="7" t="s">
        <v>150</v>
      </c>
      <c r="I15" s="7" t="s">
        <v>151</v>
      </c>
      <c r="J15" s="8" t="s">
        <v>135</v>
      </c>
      <c r="K15" s="7" t="s">
        <v>192</v>
      </c>
      <c r="L15" s="8" t="s">
        <v>135</v>
      </c>
      <c r="M15" s="7" t="s">
        <v>193</v>
      </c>
      <c r="N15" s="8"/>
      <c r="O15" s="7"/>
      <c r="P15" s="8"/>
      <c r="Q15" s="7"/>
      <c r="R15" s="8"/>
      <c r="S15" s="7"/>
      <c r="T15" s="7" t="s">
        <v>186</v>
      </c>
      <c r="U15" s="7" t="s">
        <v>185</v>
      </c>
      <c r="V15" s="8" t="s">
        <v>14</v>
      </c>
      <c r="W15" s="7" t="s">
        <v>190</v>
      </c>
      <c r="X15" s="7"/>
    </row>
    <row r="16" spans="1:26" ht="138.75" customHeight="1" x14ac:dyDescent="0.25">
      <c r="A16" s="6">
        <v>6</v>
      </c>
      <c r="B16" s="7" t="s">
        <v>142</v>
      </c>
      <c r="C16" s="8" t="s">
        <v>11</v>
      </c>
      <c r="D16" s="8" t="s">
        <v>29</v>
      </c>
      <c r="E16" s="8" t="s">
        <v>22</v>
      </c>
      <c r="F16" s="7">
        <v>480</v>
      </c>
      <c r="G16" s="7" t="s">
        <v>144</v>
      </c>
      <c r="H16" s="7"/>
      <c r="I16" s="7"/>
      <c r="J16" s="8" t="s">
        <v>129</v>
      </c>
      <c r="K16" s="7" t="s">
        <v>158</v>
      </c>
      <c r="L16" s="8" t="s">
        <v>123</v>
      </c>
      <c r="M16" s="7" t="s">
        <v>145</v>
      </c>
      <c r="N16" s="8" t="s">
        <v>124</v>
      </c>
      <c r="O16" s="7" t="s">
        <v>145</v>
      </c>
      <c r="P16" s="8" t="s">
        <v>125</v>
      </c>
      <c r="Q16" s="7" t="s">
        <v>145</v>
      </c>
      <c r="R16" s="8" t="s">
        <v>130</v>
      </c>
      <c r="S16" s="7" t="s">
        <v>145</v>
      </c>
      <c r="T16" s="7" t="s">
        <v>188</v>
      </c>
      <c r="U16" s="7"/>
      <c r="V16" s="8" t="s">
        <v>14</v>
      </c>
      <c r="W16" s="7" t="s">
        <v>190</v>
      </c>
      <c r="X16" s="7"/>
    </row>
    <row r="17" spans="1:24" ht="257.25" customHeight="1" x14ac:dyDescent="0.25">
      <c r="A17" s="6">
        <v>7</v>
      </c>
      <c r="B17" s="7" t="s">
        <v>146</v>
      </c>
      <c r="C17" s="8" t="s">
        <v>11</v>
      </c>
      <c r="D17" s="8" t="s">
        <v>21</v>
      </c>
      <c r="E17" s="8" t="s">
        <v>13</v>
      </c>
      <c r="F17" s="7">
        <v>480</v>
      </c>
      <c r="G17" s="7" t="s">
        <v>155</v>
      </c>
      <c r="H17" s="7"/>
      <c r="I17" s="7"/>
      <c r="J17" s="8" t="s">
        <v>57</v>
      </c>
      <c r="K17" s="7" t="s">
        <v>147</v>
      </c>
      <c r="L17" s="8" t="s">
        <v>61</v>
      </c>
      <c r="M17" s="7" t="s">
        <v>154</v>
      </c>
      <c r="N17" s="8"/>
      <c r="O17" s="7"/>
      <c r="P17" s="8"/>
      <c r="Q17" s="7"/>
      <c r="R17" s="8"/>
      <c r="S17" s="7"/>
      <c r="T17" s="7" t="s">
        <v>186</v>
      </c>
      <c r="U17" s="7" t="s">
        <v>185</v>
      </c>
      <c r="V17" s="8" t="s">
        <v>14</v>
      </c>
      <c r="W17" s="7" t="s">
        <v>190</v>
      </c>
      <c r="X17" s="7"/>
    </row>
    <row r="18" spans="1:24" ht="63.75" customHeight="1" x14ac:dyDescent="0.25">
      <c r="A18" s="6">
        <v>8</v>
      </c>
      <c r="B18" s="7" t="s">
        <v>156</v>
      </c>
      <c r="C18" s="8" t="s">
        <v>11</v>
      </c>
      <c r="D18" s="8" t="s">
        <v>29</v>
      </c>
      <c r="E18" s="8" t="s">
        <v>39</v>
      </c>
      <c r="F18" s="7">
        <v>240</v>
      </c>
      <c r="G18" s="7" t="s">
        <v>157</v>
      </c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 t="s">
        <v>14</v>
      </c>
      <c r="W18" s="7" t="s">
        <v>190</v>
      </c>
      <c r="X18" s="7"/>
    </row>
    <row r="19" spans="1:24" ht="132.75" customHeight="1" x14ac:dyDescent="0.25">
      <c r="A19" s="6">
        <v>9</v>
      </c>
      <c r="B19" s="7" t="s">
        <v>159</v>
      </c>
      <c r="C19" s="8" t="s">
        <v>11</v>
      </c>
      <c r="D19" s="8" t="s">
        <v>29</v>
      </c>
      <c r="E19" s="8" t="s">
        <v>13</v>
      </c>
      <c r="F19" s="7">
        <v>480</v>
      </c>
      <c r="G19" s="7" t="s">
        <v>167</v>
      </c>
      <c r="H19" s="7"/>
      <c r="I19" s="7"/>
      <c r="J19" s="8" t="s">
        <v>128</v>
      </c>
      <c r="K19" s="7" t="s">
        <v>161</v>
      </c>
      <c r="L19" s="8" t="s">
        <v>57</v>
      </c>
      <c r="M19" s="7" t="s">
        <v>162</v>
      </c>
      <c r="N19" s="8" t="s">
        <v>135</v>
      </c>
      <c r="O19" s="7" t="s">
        <v>194</v>
      </c>
      <c r="P19" s="8" t="s">
        <v>123</v>
      </c>
      <c r="Q19" s="7" t="s">
        <v>166</v>
      </c>
      <c r="R19" s="8" t="s">
        <v>130</v>
      </c>
      <c r="S19" s="7" t="s">
        <v>166</v>
      </c>
      <c r="T19" s="7"/>
      <c r="U19" s="7"/>
      <c r="V19" s="8" t="s">
        <v>14</v>
      </c>
      <c r="W19" s="7" t="s">
        <v>190</v>
      </c>
      <c r="X19" s="7"/>
    </row>
    <row r="20" spans="1:24" ht="68.25" customHeight="1" x14ac:dyDescent="0.25">
      <c r="A20" s="6">
        <v>10</v>
      </c>
      <c r="B20" s="7" t="s">
        <v>163</v>
      </c>
      <c r="C20" s="8" t="s">
        <v>11</v>
      </c>
      <c r="D20" s="8" t="s">
        <v>29</v>
      </c>
      <c r="E20" s="8" t="s">
        <v>46</v>
      </c>
      <c r="F20" s="7">
        <v>480</v>
      </c>
      <c r="G20" s="7" t="s">
        <v>164</v>
      </c>
      <c r="H20" s="7"/>
      <c r="I20" s="7"/>
      <c r="J20" s="8" t="s">
        <v>123</v>
      </c>
      <c r="K20" s="7" t="s">
        <v>165</v>
      </c>
      <c r="L20" s="8" t="s">
        <v>124</v>
      </c>
      <c r="M20" s="7" t="s">
        <v>165</v>
      </c>
      <c r="N20" s="8" t="s">
        <v>125</v>
      </c>
      <c r="O20" s="7" t="s">
        <v>165</v>
      </c>
      <c r="P20" s="8" t="s">
        <v>130</v>
      </c>
      <c r="Q20" s="7" t="s">
        <v>165</v>
      </c>
      <c r="R20" s="8"/>
      <c r="S20" s="7"/>
      <c r="T20" s="7"/>
      <c r="U20" s="7"/>
      <c r="V20" s="8" t="s">
        <v>14</v>
      </c>
      <c r="W20" s="7" t="s">
        <v>190</v>
      </c>
      <c r="X20" s="7"/>
    </row>
    <row r="21" spans="1:24" ht="265.5" customHeight="1" x14ac:dyDescent="0.25">
      <c r="A21" s="6">
        <v>11</v>
      </c>
      <c r="B21" s="7" t="s">
        <v>168</v>
      </c>
      <c r="C21" s="8" t="s">
        <v>11</v>
      </c>
      <c r="D21" s="8" t="s">
        <v>29</v>
      </c>
      <c r="E21" s="8" t="s">
        <v>13</v>
      </c>
      <c r="F21" s="7">
        <v>480</v>
      </c>
      <c r="G21" s="7" t="s">
        <v>173</v>
      </c>
      <c r="H21" s="7"/>
      <c r="I21" s="7"/>
      <c r="J21" s="8" t="s">
        <v>57</v>
      </c>
      <c r="K21" s="7" t="s">
        <v>172</v>
      </c>
      <c r="L21" s="8" t="s">
        <v>60</v>
      </c>
      <c r="M21" s="7" t="s">
        <v>169</v>
      </c>
      <c r="N21" s="8" t="s">
        <v>135</v>
      </c>
      <c r="O21" s="7" t="s">
        <v>195</v>
      </c>
      <c r="P21" s="8" t="s">
        <v>128</v>
      </c>
      <c r="Q21" s="7" t="s">
        <v>170</v>
      </c>
      <c r="R21" s="8" t="s">
        <v>196</v>
      </c>
      <c r="S21" s="7" t="s">
        <v>171</v>
      </c>
      <c r="T21" s="7"/>
      <c r="U21" s="7"/>
      <c r="V21" s="8" t="s">
        <v>14</v>
      </c>
      <c r="W21" s="7" t="s">
        <v>190</v>
      </c>
      <c r="X21" s="7"/>
    </row>
    <row r="22" spans="1:24" ht="102" customHeight="1" x14ac:dyDescent="0.25">
      <c r="A22" s="6">
        <v>12</v>
      </c>
      <c r="B22" s="7" t="s">
        <v>174</v>
      </c>
      <c r="C22" s="8" t="s">
        <v>20</v>
      </c>
      <c r="D22" s="8" t="s">
        <v>29</v>
      </c>
      <c r="E22" s="8" t="s">
        <v>46</v>
      </c>
      <c r="F22" s="7">
        <v>480</v>
      </c>
      <c r="G22" s="7" t="s">
        <v>175</v>
      </c>
      <c r="H22" s="7"/>
      <c r="I22" s="7"/>
      <c r="J22" s="8" t="s">
        <v>135</v>
      </c>
      <c r="K22" s="7" t="s">
        <v>195</v>
      </c>
      <c r="L22" s="8" t="s">
        <v>135</v>
      </c>
      <c r="M22" s="7" t="s">
        <v>176</v>
      </c>
      <c r="N22" s="8" t="s">
        <v>135</v>
      </c>
      <c r="O22" s="7" t="s">
        <v>199</v>
      </c>
      <c r="P22" s="8" t="s">
        <v>55</v>
      </c>
      <c r="Q22" s="7" t="s">
        <v>177</v>
      </c>
      <c r="R22" s="8"/>
      <c r="S22" s="7"/>
      <c r="T22" s="7"/>
      <c r="U22" s="7"/>
      <c r="V22" s="8" t="s">
        <v>14</v>
      </c>
      <c r="W22" s="7" t="s">
        <v>190</v>
      </c>
      <c r="X22" s="7"/>
    </row>
    <row r="23" spans="1:24" ht="111.75" customHeight="1" x14ac:dyDescent="0.25">
      <c r="A23" s="6">
        <v>13</v>
      </c>
      <c r="B23" s="7" t="s">
        <v>178</v>
      </c>
      <c r="C23" s="8" t="s">
        <v>11</v>
      </c>
      <c r="D23" s="8" t="s">
        <v>21</v>
      </c>
      <c r="E23" s="8" t="s">
        <v>46</v>
      </c>
      <c r="F23" s="7">
        <v>480</v>
      </c>
      <c r="G23" s="7" t="s">
        <v>179</v>
      </c>
      <c r="H23" s="7"/>
      <c r="I23" s="7"/>
      <c r="J23" s="8" t="s">
        <v>57</v>
      </c>
      <c r="K23" s="7" t="s">
        <v>180</v>
      </c>
      <c r="L23" s="8"/>
      <c r="M23" s="7"/>
      <c r="N23" s="8"/>
      <c r="O23" s="7"/>
      <c r="P23" s="8"/>
      <c r="Q23" s="7"/>
      <c r="R23" s="8"/>
      <c r="S23" s="7"/>
      <c r="T23" s="7"/>
      <c r="U23" s="7"/>
      <c r="V23" s="8" t="s">
        <v>14</v>
      </c>
      <c r="W23" s="7" t="s">
        <v>190</v>
      </c>
      <c r="X23" s="7"/>
    </row>
    <row r="24" spans="1:24" ht="51" customHeight="1" x14ac:dyDescent="0.25">
      <c r="A24" s="6">
        <v>14</v>
      </c>
      <c r="B24" s="7" t="s">
        <v>181</v>
      </c>
      <c r="C24" s="8" t="s">
        <v>11</v>
      </c>
      <c r="D24" s="8" t="s">
        <v>29</v>
      </c>
      <c r="E24" s="8" t="s">
        <v>46</v>
      </c>
      <c r="F24" s="7">
        <v>120</v>
      </c>
      <c r="G24" s="7" t="s">
        <v>182</v>
      </c>
      <c r="H24" s="7"/>
      <c r="I24" s="7"/>
      <c r="J24" s="8" t="s">
        <v>135</v>
      </c>
      <c r="K24" s="7" t="s">
        <v>198</v>
      </c>
      <c r="L24" s="8" t="s">
        <v>114</v>
      </c>
      <c r="M24" s="7" t="s">
        <v>183</v>
      </c>
      <c r="N24" s="8"/>
      <c r="O24" s="7"/>
      <c r="P24" s="8"/>
      <c r="Q24" s="7"/>
      <c r="R24" s="8"/>
      <c r="S24" s="7"/>
      <c r="T24" s="7"/>
      <c r="U24" s="7"/>
      <c r="V24" s="8" t="s">
        <v>31</v>
      </c>
      <c r="W24" s="7" t="s">
        <v>18</v>
      </c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39.75" customHeight="1" x14ac:dyDescent="0.25">
      <c r="A26" s="6">
        <v>16</v>
      </c>
      <c r="B26" s="7"/>
      <c r="C26" s="8"/>
      <c r="D26" s="8"/>
      <c r="E26" s="8"/>
      <c r="F26" s="7"/>
      <c r="G26" s="7"/>
      <c r="H26" s="7"/>
      <c r="I26" s="7"/>
      <c r="J26" s="8"/>
      <c r="K26" s="7"/>
      <c r="L26" s="8"/>
      <c r="M26" s="7"/>
      <c r="N26" s="8"/>
      <c r="O26" s="7"/>
      <c r="P26" s="8"/>
      <c r="Q26" s="7"/>
      <c r="R26" s="8"/>
      <c r="S26" s="7"/>
      <c r="T26" s="7"/>
      <c r="U26" s="7"/>
      <c r="V26" s="8"/>
      <c r="W26" s="7"/>
      <c r="X26" s="7"/>
    </row>
    <row r="27" spans="1:24" ht="39.75" customHeight="1" x14ac:dyDescent="0.25">
      <c r="A27" s="6">
        <v>17</v>
      </c>
      <c r="B27" s="7"/>
      <c r="C27" s="8"/>
      <c r="D27" s="8"/>
      <c r="E27" s="8"/>
      <c r="F27" s="7"/>
      <c r="G27" s="7"/>
      <c r="H27" s="7"/>
      <c r="I27" s="7"/>
      <c r="J27" s="8"/>
      <c r="K27" s="7"/>
      <c r="L27" s="8"/>
      <c r="M27" s="7"/>
      <c r="N27" s="8"/>
      <c r="O27" s="7"/>
      <c r="P27" s="8"/>
      <c r="Q27" s="7"/>
      <c r="R27" s="8"/>
      <c r="S27" s="7"/>
      <c r="T27" s="7"/>
      <c r="U27" s="7"/>
      <c r="V27" s="8"/>
      <c r="W27" s="7"/>
      <c r="X27" s="7"/>
    </row>
    <row r="28" spans="1:24" ht="15.75" customHeight="1" x14ac:dyDescent="0.25"/>
    <row r="29" spans="1:24" ht="15.75" customHeight="1" x14ac:dyDescent="0.25">
      <c r="A29" s="9" t="s">
        <v>103</v>
      </c>
    </row>
    <row r="30" spans="1:24" ht="15.75" customHeight="1" x14ac:dyDescent="0.25">
      <c r="A30" s="10" t="s">
        <v>104</v>
      </c>
      <c r="B30" s="29" t="e">
        <f ca="1">Выпадающий список(ТОЛЬКО из списка)</f>
        <v>#NAME?</v>
      </c>
      <c r="C30" s="30"/>
      <c r="D30" s="30"/>
      <c r="E30" s="30"/>
    </row>
    <row r="31" spans="1:24" ht="15.75" customHeight="1" x14ac:dyDescent="0.25">
      <c r="A31" s="11" t="s">
        <v>105</v>
      </c>
      <c r="B31" s="29" t="e">
        <f>Можно выбрать из списка ИЛИ написать своё</f>
        <v>#NAME?</v>
      </c>
      <c r="C31" s="30"/>
      <c r="D31" s="30"/>
      <c r="E31" s="30"/>
    </row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8">
    <mergeCell ref="B30:E30"/>
    <mergeCell ref="B31:E31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L11:L27 J11:J27 N11:N27 P11:P27 R11:R27</xm:sqref>
        </x14:dataValidation>
        <x14:dataValidation type="list" allowBlank="1" xr:uid="{00000000-0002-0000-0100-000000000000}">
          <x14:formula1>
            <xm:f>Справочники!$E$2:$E$6</xm:f>
          </x14:formula1>
          <xm:sqref>E11:E27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G11:G27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V11:V27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I11:I27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D11:D27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C11:C27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H11:H27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W11:W27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2026-01-26T07:29:25Z</dcterms:modified>
</cp:coreProperties>
</file>