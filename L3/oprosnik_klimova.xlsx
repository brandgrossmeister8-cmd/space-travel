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A72F22D4-970E-4534-AD14-1550C1A2B52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C5" i="2" l="1"/>
  <c r="C4" i="2"/>
  <c r="B29" i="2" l="1"/>
  <c r="B28" i="2"/>
</calcChain>
</file>

<file path=xl/sharedStrings.xml><?xml version="1.0" encoding="utf-8"?>
<sst xmlns="http://schemas.openxmlformats.org/spreadsheetml/2006/main" count="235" uniqueCount="166">
  <si>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</si>
  <si>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</si>
  <si>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</si>
  <si>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</si>
  <si>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</si>
  <si>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</si>
  <si>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</si>
  <si>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</si>
  <si>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</si>
  <si>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</si>
  <si>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</si>
  <si>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</si>
  <si>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</si>
  <si>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</si>
  <si>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</si>
  <si>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</si>
  <si>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</si>
  <si>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</si>
  <si>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</si>
  <si>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</si>
  <si>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</si>
  <si>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</si>
  <si>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</si>
  <si>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</si>
  <si>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</si>
  <si>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</si>
  <si>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</si>
  <si>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</si>
  <si>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</si>
  <si>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</si>
  <si>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</si>
  <si>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</si>
  <si>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</si>
  <si>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</si>
  <si>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</si>
  <si>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</si>
  <si>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</si>
  <si>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</si>
  <si>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</si>
  <si>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</si>
  <si>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</si>
  <si>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</si>
  <si>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</si>
  <si>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</si>
  <si>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</si>
  <si>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</si>
  <si>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</si>
  <si>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</si>
  <si>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</si>
  <si>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</si>
  <si>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</si>
  <si>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</si>
  <si>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</si>
  <si>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</si>
  <si>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</si>
  <si>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</si>
  <si>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</si>
  <si>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</si>
  <si>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</si>
  <si>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</si>
  <si>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</si>
  <si>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</si>
  <si>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</si>
  <si>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</si>
  <si>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</si>
  <si>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</si>
  <si>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</si>
  <si>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</si>
  <si>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</si>
  <si>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</si>
  <si>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</si>
  <si>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</si>
  <si>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</si>
  <si>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</si>
  <si>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</si>
  <si>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</si>
  <si>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</si>
  <si>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</si>
  <si>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</si>
  <si>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</si>
  <si>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</si>
  <si>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</si>
  <si>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</si>
  <si>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</si>
  <si>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</si>
  <si>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</si>
  <si>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</si>
  <si>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</si>
  <si>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</si>
  <si>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</si>
  <si>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</si>
  <si>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</si>
  <si>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</si>
  <si>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</si>
  <si>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</si>
  <si>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</si>
  <si>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</si>
  <si>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</si>
  <si>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</si>
  <si>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</si>
  <si>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</si>
  <si>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</si>
  <si>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</si>
  <si>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</si>
  <si>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</si>
  <si>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</si>
  <si>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</si>
  <si>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</si>
  <si>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</si>
  <si>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</si>
  <si>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</si>
  <si>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</si>
  <si>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</si>
  <si>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</si>
  <si>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</si>
  <si>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</si>
  <si>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</si>
  <si>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</si>
  <si>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</si>
  <si>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</si>
  <si>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</si>
  <si>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</si>
  <si>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</si>
  <si>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</si>
  <si>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</si>
  <si>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</si>
  <si>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</si>
  <si>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</si>
  <si>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</si>
  <si>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</si>
  <si>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</si>
  <si>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Бухгалтер</t>
  </si>
  <si>
    <t>Климова</t>
  </si>
  <si>
    <t>Другое Обработка документов в обработке 1С</t>
  </si>
  <si>
    <t>Другое Проблема, связанная с техническими возможностями 1С</t>
  </si>
  <si>
    <t>Другое технические возможности 1С</t>
  </si>
  <si>
    <t>Провожу реализации по наземному обслуживанию в Спейс Тревел Северо-Запад, сверяю информацию по заявкам в САМО и в 1С</t>
  </si>
  <si>
    <t>Сверяю остатки задолженностей по заявкам с датой выезда за прошедший месяц</t>
  </si>
  <si>
    <t>Взаимодействую с бухгалтерами на других участках при возникновении расхождений в информации в САМО и 1С</t>
  </si>
  <si>
    <t>Провожу реализации по билетам авиакомпании Уральские Авиалинии, готовлю и отправляю закрывающие документы контрагенту</t>
  </si>
  <si>
    <t>Другое Проблем нет</t>
  </si>
  <si>
    <t>Получаю информацию о номерах заявок к авиабилетам в формате таблицы</t>
  </si>
  <si>
    <t>Проверяю и провожу отчеты агента, полученные в ЭДО Спейс Тревел Северо-Запад ООО</t>
  </si>
  <si>
    <t xml:space="preserve">Отвечаю на письма агентов по вопросам формирования и предоставления отчетов агента по Спейс Тревел Северо-Запад ООО </t>
  </si>
  <si>
    <t>Проверяю и провожу отчеты агента, полученные в печатном виде Спейс Тревел Северо-Запад ООО, отправляю вторые экземпляры, подписанные с нашей стороны, агентам</t>
  </si>
  <si>
    <t>Провожу сверку взаиморасчетов с агентами</t>
  </si>
  <si>
    <t>Другое Индивидуальные проблемы агентов, коммуникации с контрагентами</t>
  </si>
  <si>
    <t>Отвечаю на вопросы сотрудников, касающиеся документооборота с агенствами</t>
  </si>
  <si>
    <t>Другое Возможно, недостаток информации для агентов в их Личном кабинете. Агенты часто не понимают, что и где нужно нажать, чтобы получить документы, какие именно документы им нужно выгрузить и предоставить, как они могут их предоставить</t>
  </si>
  <si>
    <t>Другое Обработка документов в 1С</t>
  </si>
  <si>
    <t>Сверяю остатки по контрагентам в 1С (агентам) по счету учета "расчеты с покупателями"</t>
  </si>
  <si>
    <t>Другое Обработка информации в 1С</t>
  </si>
  <si>
    <t xml:space="preserve">Не дают информацию вовремя </t>
  </si>
  <si>
    <t>Изменения по заявке в САМО могут проставляться спустя большое количество времени после закрытия заявки и даже закрытия периода в 1С. Несвоевременное отражение изменений по заявке (необходимость возврата денежных средств, изменение комплекта документов и т д) приводит к созданию множества корректировочных документов. Поиск данных ошибок затруднён большим объёмом контрагентов.</t>
  </si>
  <si>
    <t>Исправляю ошибки при закрытии квартала</t>
  </si>
  <si>
    <t>Взаимодействие с Главными бухгалтерами при возникновении ошибок и вопросов при проведении закрытия периода, в начислеии налогов и формировании налоговых деклараций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</si>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</sst>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limova.kl_1/AppData/Local/Microsoft/Windows/INetCache/Content.Outlook/DKSD4MM8/oprosnik_orlo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1" t="s">
        <v>113</v>
      </c>
      <c r="B2" s="21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1" t="s">
        <v>115</v>
      </c>
      <c r="B3" s="21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1" t="s">
        <v>117</v>
      </c>
      <c r="B4" s="21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1" t="s">
        <v>156</v>
      </c>
      <c r="B5" s="21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1" t="s">
        <v>119</v>
      </c>
      <c r="B6" s="21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2" t="s">
        <v>120</v>
      </c>
      <c r="B7" s="21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1" t="s">
        <v>56</v>
      </c>
      <c r="B8" s="21" t="s">
        <v>54</v>
      </c>
      <c r="J8" s="2" t="s">
        <v>47</v>
      </c>
    </row>
    <row r="9" spans="1:11" x14ac:dyDescent="0.25">
      <c r="A9" s="21" t="s">
        <v>157</v>
      </c>
      <c r="B9" s="21" t="s">
        <v>55</v>
      </c>
    </row>
    <row r="10" spans="1:11" x14ac:dyDescent="0.25">
      <c r="A10" s="21" t="s">
        <v>59</v>
      </c>
      <c r="B10" s="21" t="s">
        <v>121</v>
      </c>
    </row>
    <row r="11" spans="1:11" x14ac:dyDescent="0.25">
      <c r="A11" s="21" t="s">
        <v>73</v>
      </c>
      <c r="B11" s="21" t="s">
        <v>57</v>
      </c>
    </row>
    <row r="12" spans="1:11" x14ac:dyDescent="0.25">
      <c r="A12" s="21" t="s">
        <v>122</v>
      </c>
      <c r="B12" s="21" t="s">
        <v>58</v>
      </c>
    </row>
    <row r="13" spans="1:11" x14ac:dyDescent="0.25">
      <c r="B13" s="21" t="s">
        <v>60</v>
      </c>
    </row>
    <row r="14" spans="1:11" x14ac:dyDescent="0.25">
      <c r="A14" s="23"/>
      <c r="B14" s="21" t="s">
        <v>123</v>
      </c>
    </row>
    <row r="15" spans="1:11" x14ac:dyDescent="0.25">
      <c r="A15" s="23"/>
      <c r="B15" s="21" t="s">
        <v>124</v>
      </c>
    </row>
    <row r="16" spans="1:11" x14ac:dyDescent="0.25">
      <c r="A16" s="24"/>
      <c r="B16" s="21" t="s">
        <v>125</v>
      </c>
    </row>
    <row r="17" spans="1:2" x14ac:dyDescent="0.25">
      <c r="A17" s="24"/>
      <c r="B17" s="21" t="s">
        <v>126</v>
      </c>
    </row>
    <row r="18" spans="1:2" x14ac:dyDescent="0.25">
      <c r="A18" s="24"/>
      <c r="B18" s="21" t="s">
        <v>61</v>
      </c>
    </row>
    <row r="19" spans="1:2" x14ac:dyDescent="0.25">
      <c r="A19" s="24"/>
      <c r="B19" s="21" t="s">
        <v>62</v>
      </c>
    </row>
    <row r="20" spans="1:2" x14ac:dyDescent="0.25">
      <c r="A20" s="24"/>
      <c r="B20" s="21" t="s">
        <v>63</v>
      </c>
    </row>
    <row r="21" spans="1:2" ht="15.75" customHeight="1" x14ac:dyDescent="0.25">
      <c r="A21" s="24"/>
      <c r="B21" s="21" t="s">
        <v>64</v>
      </c>
    </row>
    <row r="22" spans="1:2" ht="15.75" customHeight="1" x14ac:dyDescent="0.25">
      <c r="A22" s="24"/>
      <c r="B22" s="21" t="s">
        <v>65</v>
      </c>
    </row>
    <row r="23" spans="1:2" ht="15.75" customHeight="1" x14ac:dyDescent="0.25">
      <c r="A23" s="24"/>
      <c r="B23" s="21" t="s">
        <v>66</v>
      </c>
    </row>
    <row r="24" spans="1:2" ht="15.75" customHeight="1" x14ac:dyDescent="0.25">
      <c r="A24" s="24"/>
      <c r="B24" s="21" t="s">
        <v>67</v>
      </c>
    </row>
    <row r="25" spans="1:2" ht="15.75" customHeight="1" x14ac:dyDescent="0.25">
      <c r="A25" s="24"/>
      <c r="B25" s="21" t="s">
        <v>68</v>
      </c>
    </row>
    <row r="26" spans="1:2" ht="15.75" customHeight="1" x14ac:dyDescent="0.25">
      <c r="A26" s="24"/>
      <c r="B26" s="21" t="s">
        <v>69</v>
      </c>
    </row>
    <row r="27" spans="1:2" ht="15.75" customHeight="1" x14ac:dyDescent="0.25">
      <c r="A27" s="24"/>
      <c r="B27" s="21" t="s">
        <v>70</v>
      </c>
    </row>
    <row r="28" spans="1:2" ht="15.75" customHeight="1" x14ac:dyDescent="0.25">
      <c r="A28" s="24"/>
      <c r="B28" s="21" t="s">
        <v>127</v>
      </c>
    </row>
    <row r="29" spans="1:2" ht="15.75" customHeight="1" x14ac:dyDescent="0.25">
      <c r="A29" s="24"/>
      <c r="B29" s="21" t="s">
        <v>71</v>
      </c>
    </row>
    <row r="30" spans="1:2" ht="15.75" customHeight="1" x14ac:dyDescent="0.25">
      <c r="A30" s="24"/>
      <c r="B30" s="21" t="s">
        <v>128</v>
      </c>
    </row>
    <row r="31" spans="1:2" ht="15.75" customHeight="1" x14ac:dyDescent="0.25">
      <c r="A31" s="24"/>
      <c r="B31" s="21" t="s">
        <v>129</v>
      </c>
    </row>
    <row r="32" spans="1:2" ht="15.75" customHeight="1" x14ac:dyDescent="0.25">
      <c r="A32" s="24"/>
      <c r="B32" s="21" t="s">
        <v>72</v>
      </c>
    </row>
    <row r="33" spans="1:2" ht="15.75" customHeight="1" x14ac:dyDescent="0.25">
      <c r="A33" s="24"/>
      <c r="B33" s="21" t="s">
        <v>158</v>
      </c>
    </row>
    <row r="34" spans="1:2" ht="15.75" customHeight="1" x14ac:dyDescent="0.25">
      <c r="A34" s="23"/>
      <c r="B34" s="21" t="s">
        <v>130</v>
      </c>
    </row>
    <row r="35" spans="1:2" ht="15.75" customHeight="1" x14ac:dyDescent="0.25">
      <c r="B35" s="21" t="s">
        <v>159</v>
      </c>
    </row>
    <row r="36" spans="1:2" ht="15.75" customHeight="1" x14ac:dyDescent="0.25">
      <c r="B36" s="21" t="s">
        <v>160</v>
      </c>
    </row>
    <row r="37" spans="1:2" ht="15.75" customHeight="1" x14ac:dyDescent="0.25">
      <c r="B37" s="25" t="s">
        <v>161</v>
      </c>
    </row>
    <row r="38" spans="1:2" ht="15.75" customHeight="1" x14ac:dyDescent="0.25">
      <c r="B38" s="26" t="s">
        <v>162</v>
      </c>
    </row>
    <row r="39" spans="1:2" ht="15.75" customHeight="1" x14ac:dyDescent="0.25">
      <c r="B39" s="21" t="s">
        <v>156</v>
      </c>
    </row>
    <row r="40" spans="1:2" ht="15.75" customHeight="1" x14ac:dyDescent="0.25">
      <c r="B40" s="21" t="s">
        <v>56</v>
      </c>
    </row>
    <row r="41" spans="1:2" ht="15.75" customHeight="1" x14ac:dyDescent="0.25">
      <c r="B41" s="25" t="s">
        <v>163</v>
      </c>
    </row>
    <row r="42" spans="1:2" ht="15.75" customHeight="1" x14ac:dyDescent="0.25">
      <c r="B42" t="s">
        <v>164</v>
      </c>
    </row>
    <row r="43" spans="1:2" ht="15.75" customHeight="1" x14ac:dyDescent="0.25">
      <c r="B43" t="s">
        <v>165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" workbookViewId="0">
      <selection activeCell="L11" activeCellId="4" sqref="C5 R11:R25 P11:P25 N11:N25 L11:L25 J13:J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19.140625" customWidth="1"/>
    <col min="9" max="9" width="18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29" t="s">
        <v>74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1"/>
    </row>
    <row r="3" spans="1:26" x14ac:dyDescent="0.25">
      <c r="B3" s="3" t="s">
        <v>75</v>
      </c>
      <c r="C3" s="32" t="s">
        <v>132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</row>
    <row r="4" spans="1:26" x14ac:dyDescent="0.25">
      <c r="B4" s="3" t="s">
        <v>76</v>
      </c>
      <c r="C4" s="33" t="str">
        <f>Справочники!A9</f>
        <v>Департамент финансов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</row>
    <row r="5" spans="1:26" x14ac:dyDescent="0.25">
      <c r="B5" s="3" t="s">
        <v>77</v>
      </c>
      <c r="C5" s="33" t="str">
        <f>Справочники!B2</f>
        <v>Бухгалтерия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1"/>
    </row>
    <row r="6" spans="1:26" x14ac:dyDescent="0.25">
      <c r="B6" s="3" t="s">
        <v>78</v>
      </c>
      <c r="C6" s="32" t="s">
        <v>131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1"/>
    </row>
    <row r="8" spans="1:26" ht="15.75" x14ac:dyDescent="0.25">
      <c r="A8" s="34" t="s">
        <v>79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0" customFormat="1" ht="48.6" customHeight="1" x14ac:dyDescent="0.25">
      <c r="A10" s="15" t="s">
        <v>112</v>
      </c>
      <c r="B10" s="13" t="s">
        <v>107</v>
      </c>
      <c r="C10" s="14" t="s">
        <v>108</v>
      </c>
      <c r="D10" s="14" t="s">
        <v>108</v>
      </c>
      <c r="E10" s="14" t="s">
        <v>108</v>
      </c>
      <c r="F10" s="13" t="s">
        <v>110</v>
      </c>
      <c r="G10" s="16"/>
      <c r="H10" s="17"/>
      <c r="I10" s="17"/>
      <c r="J10" s="14" t="s">
        <v>108</v>
      </c>
      <c r="K10" s="18" t="s">
        <v>109</v>
      </c>
      <c r="L10" s="14" t="s">
        <v>108</v>
      </c>
      <c r="M10" s="18" t="s">
        <v>109</v>
      </c>
      <c r="N10" s="14" t="s">
        <v>108</v>
      </c>
      <c r="O10" s="18" t="s">
        <v>109</v>
      </c>
      <c r="P10" s="14" t="s">
        <v>108</v>
      </c>
      <c r="Q10" s="18" t="s">
        <v>109</v>
      </c>
      <c r="R10" s="14" t="s">
        <v>108</v>
      </c>
      <c r="S10" s="18" t="s">
        <v>109</v>
      </c>
      <c r="T10" s="17"/>
      <c r="U10" s="17"/>
      <c r="V10" s="17" t="s">
        <v>111</v>
      </c>
      <c r="W10" s="17"/>
      <c r="X10" s="17"/>
      <c r="Y10" s="19"/>
      <c r="Z10" s="19"/>
    </row>
    <row r="11" spans="1:26" ht="90" x14ac:dyDescent="0.25">
      <c r="A11" s="6">
        <v>1</v>
      </c>
      <c r="B11" s="7" t="s">
        <v>136</v>
      </c>
      <c r="C11" s="8" t="s">
        <v>11</v>
      </c>
      <c r="D11" s="8" t="s">
        <v>21</v>
      </c>
      <c r="E11" s="8" t="s">
        <v>13</v>
      </c>
      <c r="F11" s="7">
        <v>180</v>
      </c>
      <c r="G11" s="7" t="s">
        <v>133</v>
      </c>
      <c r="H11" s="7" t="s">
        <v>134</v>
      </c>
      <c r="I11" s="7" t="s">
        <v>135</v>
      </c>
      <c r="J11" s="8" t="s">
        <v>114</v>
      </c>
      <c r="K11" s="7" t="s">
        <v>138</v>
      </c>
      <c r="L11" s="8"/>
      <c r="M11" s="7"/>
      <c r="N11" s="8"/>
      <c r="O11" s="7"/>
      <c r="P11" s="8"/>
      <c r="Q11" s="7"/>
      <c r="R11" s="8"/>
      <c r="S11" s="7"/>
      <c r="T11" s="7"/>
      <c r="U11" s="7"/>
      <c r="V11" s="8"/>
      <c r="W11" s="7"/>
      <c r="X11" s="7"/>
    </row>
    <row r="12" spans="1:26" ht="90" x14ac:dyDescent="0.25">
      <c r="A12" s="6">
        <v>2</v>
      </c>
      <c r="B12" s="7" t="s">
        <v>137</v>
      </c>
      <c r="C12" s="8" t="s">
        <v>11</v>
      </c>
      <c r="D12" s="8" t="s">
        <v>21</v>
      </c>
      <c r="E12" s="8" t="s">
        <v>30</v>
      </c>
      <c r="F12" s="7">
        <v>480</v>
      </c>
      <c r="G12" s="7" t="s">
        <v>133</v>
      </c>
      <c r="H12" s="7" t="s">
        <v>134</v>
      </c>
      <c r="I12" s="7" t="s">
        <v>135</v>
      </c>
      <c r="J12" s="8" t="s">
        <v>114</v>
      </c>
      <c r="K12" s="7" t="s">
        <v>138</v>
      </c>
      <c r="L12" s="8"/>
      <c r="M12" s="7"/>
      <c r="N12" s="8"/>
      <c r="O12" s="7"/>
      <c r="P12" s="8"/>
      <c r="Q12" s="7"/>
      <c r="R12" s="8"/>
      <c r="S12" s="7"/>
      <c r="T12" s="7"/>
      <c r="U12" s="7"/>
      <c r="V12" s="8"/>
      <c r="W12" s="7"/>
      <c r="X12" s="7"/>
    </row>
    <row r="13" spans="1:26" ht="75" x14ac:dyDescent="0.25">
      <c r="A13" s="6">
        <v>3</v>
      </c>
      <c r="B13" s="7" t="s">
        <v>139</v>
      </c>
      <c r="C13" s="8" t="s">
        <v>11</v>
      </c>
      <c r="D13" s="8" t="s">
        <v>21</v>
      </c>
      <c r="E13" s="8" t="s">
        <v>22</v>
      </c>
      <c r="F13" s="7">
        <v>180</v>
      </c>
      <c r="G13" s="7" t="s">
        <v>133</v>
      </c>
      <c r="H13" s="7" t="s">
        <v>140</v>
      </c>
      <c r="I13" s="7" t="s">
        <v>140</v>
      </c>
      <c r="J13" s="8" t="s">
        <v>71</v>
      </c>
      <c r="K13" s="7" t="s">
        <v>141</v>
      </c>
      <c r="L13" s="8"/>
      <c r="M13" s="7"/>
      <c r="N13" s="8"/>
      <c r="O13" s="7"/>
      <c r="P13" s="8"/>
      <c r="Q13" s="7"/>
      <c r="R13" s="8"/>
      <c r="S13" s="7"/>
      <c r="T13" s="7"/>
      <c r="U13" s="7"/>
      <c r="V13" s="8"/>
      <c r="W13" s="7"/>
      <c r="X13" s="7"/>
    </row>
    <row r="14" spans="1:26" ht="45" x14ac:dyDescent="0.25">
      <c r="A14" s="6">
        <v>4</v>
      </c>
      <c r="B14" s="7" t="s">
        <v>142</v>
      </c>
      <c r="C14" s="8" t="s">
        <v>11</v>
      </c>
      <c r="D14" s="8" t="s">
        <v>12</v>
      </c>
      <c r="E14" s="8" t="s">
        <v>13</v>
      </c>
      <c r="F14" s="7">
        <v>120</v>
      </c>
      <c r="G14" s="7" t="s">
        <v>133</v>
      </c>
      <c r="H14" s="7" t="s">
        <v>140</v>
      </c>
      <c r="I14" s="7" t="s">
        <v>140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/>
      <c r="W14" s="7"/>
      <c r="X14" s="7"/>
    </row>
    <row r="15" spans="1:26" ht="255" x14ac:dyDescent="0.25">
      <c r="A15" s="6">
        <v>5</v>
      </c>
      <c r="B15" s="7" t="s">
        <v>143</v>
      </c>
      <c r="C15" s="8" t="s">
        <v>20</v>
      </c>
      <c r="D15" s="8" t="s">
        <v>29</v>
      </c>
      <c r="E15" s="8" t="s">
        <v>13</v>
      </c>
      <c r="F15" s="7">
        <v>60</v>
      </c>
      <c r="G15" s="7" t="s">
        <v>24</v>
      </c>
      <c r="H15" s="7" t="s">
        <v>146</v>
      </c>
      <c r="I15" s="7" t="s">
        <v>148</v>
      </c>
      <c r="J15" s="8" t="s">
        <v>55</v>
      </c>
      <c r="K15" s="7" t="s">
        <v>147</v>
      </c>
      <c r="L15" s="8"/>
      <c r="M15" s="7"/>
      <c r="N15" s="8"/>
      <c r="O15" s="7"/>
      <c r="P15" s="8"/>
      <c r="Q15" s="7"/>
      <c r="R15" s="8"/>
      <c r="S15" s="7"/>
      <c r="T15" s="7"/>
      <c r="U15" s="7"/>
      <c r="V15" s="8"/>
      <c r="W15" s="7"/>
      <c r="X15" s="7"/>
    </row>
    <row r="16" spans="1:26" ht="90" x14ac:dyDescent="0.25">
      <c r="A16" s="6">
        <v>6</v>
      </c>
      <c r="B16" s="7" t="s">
        <v>144</v>
      </c>
      <c r="C16" s="8" t="s">
        <v>11</v>
      </c>
      <c r="D16" s="8" t="s">
        <v>21</v>
      </c>
      <c r="E16" s="8" t="s">
        <v>30</v>
      </c>
      <c r="F16" s="7">
        <v>120</v>
      </c>
      <c r="G16" s="7" t="s">
        <v>133</v>
      </c>
      <c r="H16" s="7" t="s">
        <v>140</v>
      </c>
      <c r="I16" s="7" t="s">
        <v>140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0" x14ac:dyDescent="0.25">
      <c r="A17" s="6">
        <v>7</v>
      </c>
      <c r="B17" s="7" t="s">
        <v>145</v>
      </c>
      <c r="C17" s="8" t="s">
        <v>11</v>
      </c>
      <c r="D17" s="8" t="s">
        <v>29</v>
      </c>
      <c r="E17" s="8" t="s">
        <v>39</v>
      </c>
      <c r="F17" s="7">
        <v>480</v>
      </c>
      <c r="G17" s="7" t="s">
        <v>149</v>
      </c>
      <c r="H17" s="7" t="s">
        <v>140</v>
      </c>
      <c r="I17" s="7" t="s">
        <v>140</v>
      </c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00" x14ac:dyDescent="0.25">
      <c r="A18" s="6">
        <v>8</v>
      </c>
      <c r="B18" s="7" t="s">
        <v>150</v>
      </c>
      <c r="C18" s="8" t="s">
        <v>11</v>
      </c>
      <c r="D18" s="8" t="s">
        <v>21</v>
      </c>
      <c r="E18" s="8" t="s">
        <v>39</v>
      </c>
      <c r="F18" s="7">
        <v>600</v>
      </c>
      <c r="G18" s="7" t="s">
        <v>151</v>
      </c>
      <c r="H18" s="7" t="s">
        <v>152</v>
      </c>
      <c r="I18" s="7" t="s">
        <v>42</v>
      </c>
      <c r="J18" s="8" t="s">
        <v>52</v>
      </c>
      <c r="K18" s="7" t="s">
        <v>153</v>
      </c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120" x14ac:dyDescent="0.25">
      <c r="A19" s="6">
        <v>9</v>
      </c>
      <c r="B19" s="7" t="s">
        <v>154</v>
      </c>
      <c r="C19" s="8" t="s">
        <v>20</v>
      </c>
      <c r="D19" s="8" t="s">
        <v>29</v>
      </c>
      <c r="E19" s="8" t="s">
        <v>46</v>
      </c>
      <c r="F19" s="7">
        <v>240</v>
      </c>
      <c r="G19" s="7" t="s">
        <v>151</v>
      </c>
      <c r="H19" s="7" t="s">
        <v>140</v>
      </c>
      <c r="I19" s="7" t="s">
        <v>140</v>
      </c>
      <c r="J19" s="8" t="s">
        <v>114</v>
      </c>
      <c r="K19" s="7" t="s">
        <v>155</v>
      </c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7" t="e">
        <f ca="1">Выпадающий список(ТОЛЬКО из списка)</f>
        <v>#NAME?</v>
      </c>
      <c r="C28" s="28"/>
      <c r="D28" s="28"/>
      <c r="E28" s="28"/>
    </row>
    <row r="29" spans="1:24" ht="15.75" customHeight="1" x14ac:dyDescent="0.25">
      <c r="A29" s="11" t="s">
        <v>105</v>
      </c>
      <c r="B29" s="27" t="e">
        <f>Можно выбрать из списка ИЛИ написать своё</f>
        <v>#NAME?</v>
      </c>
      <c r="C29" s="28"/>
      <c r="D29" s="28"/>
      <c r="E29" s="28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G15 G18:G25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I13:I25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C13:C25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L11:L25 J13:J25</xm:sqref>
        </x14:dataValidation>
        <x14:dataValidation type="list" allowBlank="1" xr:uid="{00000000-0002-0000-0100-000008000000}">
          <x14:formula1>
            <xm:f>Справочники!$H$2:$H$7</xm:f>
          </x14:formula1>
          <xm:sqref>H13:H25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424B805F-9A13-47C9-9195-6E92986F16F2}">
          <x14:formula1>
            <xm:f>'C:\Users\klimova.kl_1\AppData\Local\Microsoft\Windows\INetCache\Content.Outlook\DKSD4MM8\[oprosnik_orlova.xlsx]Справочники'!#REF!</xm:f>
          </x14:formula1>
          <xm:sqref>G11:G14 G16:G17 C11:C12 H11:J12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2026-01-26T07:52:37Z</dcterms:modified>
</cp:coreProperties>
</file>