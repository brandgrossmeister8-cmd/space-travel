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D64A1A3-1304-438B-AF0C-8FAD41FB256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3" i="2" l="1"/>
  <c r="B32" i="2"/>
</calcChain>
</file>

<file path=xl/sharedStrings.xml><?xml version="1.0" encoding="utf-8"?>
<sst xmlns="http://schemas.openxmlformats.org/spreadsheetml/2006/main" count="277" uniqueCount="163">
  <si>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</si>
  <si>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</si>
  <si>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</si>
  <si>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</si>
  <si>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</si>
  <si>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</si>
  <si>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</si>
  <si>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</si>
  <si>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</si>
  <si>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</si>
  <si>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</si>
  <si>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</si>
  <si>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</si>
  <si>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</si>
  <si>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</si>
  <si>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</si>
  <si>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</si>
  <si>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</si>
  <si>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</si>
  <si>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</si>
  <si>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</si>
  <si>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</si>
  <si>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</si>
  <si>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</si>
  <si>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</si>
  <si>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</si>
  <si>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</si>
  <si>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</si>
  <si>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</si>
  <si>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</si>
  <si>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</si>
  <si>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</si>
  <si>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</si>
  <si>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</si>
  <si>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</si>
  <si>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</si>
  <si>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</si>
  <si>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</si>
  <si>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</si>
  <si>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</si>
  <si>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</si>
  <si>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</si>
  <si>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</si>
  <si>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</si>
  <si>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</si>
  <si>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</si>
  <si>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</si>
  <si>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</si>
  <si>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</si>
  <si>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</si>
  <si>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</si>
  <si>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</si>
  <si>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</si>
  <si>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</si>
  <si>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</si>
  <si>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</si>
  <si>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</si>
  <si>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</si>
  <si>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</si>
  <si>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</si>
  <si>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</si>
  <si>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</si>
  <si>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</si>
  <si>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</si>
  <si>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</si>
  <si>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</si>
  <si>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</si>
  <si>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</si>
  <si>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</si>
  <si>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</si>
  <si>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</si>
  <si>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</si>
  <si>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</si>
  <si>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</si>
  <si>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</si>
  <si>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</si>
  <si>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</si>
  <si>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</si>
  <si>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</si>
  <si>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</si>
  <si>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</si>
  <si>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</si>
  <si>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</si>
  <si>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</si>
  <si>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</si>
  <si>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</si>
  <si>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</si>
  <si>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</si>
  <si>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</si>
  <si>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</si>
  <si>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</si>
  <si>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</si>
  <si>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</si>
  <si>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</si>
  <si>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</si>
  <si>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</si>
  <si>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</si>
  <si>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</si>
  <si>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</si>
  <si>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</si>
  <si>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</si>
  <si>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</si>
  <si>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</si>
  <si>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</si>
  <si>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</si>
  <si>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</si>
  <si>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</si>
  <si>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</si>
  <si>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</si>
  <si>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</si>
  <si>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</si>
  <si>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</si>
  <si>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</si>
  <si>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</si>
  <si>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</si>
  <si>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</si>
  <si>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</si>
  <si>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</si>
  <si>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</si>
  <si>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</si>
  <si>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</si>
  <si>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</si>
  <si>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</si>
  <si>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</si>
  <si>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</si>
  <si>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</si>
  <si>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</si>
  <si>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</si>
  <si>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</si>
  <si>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</si>
  <si>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</si>
  <si>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</si>
  <si>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</si>
  <si>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</si>
  <si>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</si>
  <si>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</si>
  <si>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Ведущий менеджер транспортного отдела</t>
  </si>
  <si>
    <t>отправляю отчеты ИАТА в финотдел</t>
  </si>
  <si>
    <t>согласовываю с заказчиком</t>
  </si>
  <si>
    <t>создаю заявки в САМО</t>
  </si>
  <si>
    <t>оформляю билеты, корректирую маршрут-квитанции</t>
  </si>
  <si>
    <t>проверяю бронирования, актуальную стоимость и тайм лимит</t>
  </si>
  <si>
    <t>выставляю счет, вношу в трекер (при необходимости),  пересылаю счет  заказчику , остлеживаю оплату в САМО</t>
  </si>
  <si>
    <t>делаю расчеты обмена/возврата</t>
  </si>
  <si>
    <t>делаю расчеты доп услуг (выбор мест, доп багаж и др)</t>
  </si>
  <si>
    <t>корректирую  паспортные данные в билетах</t>
  </si>
  <si>
    <t>Другое /иногда долгое ожидание ответа поставщика</t>
  </si>
  <si>
    <t>подбираю варианты перелета, бронирую перелеты</t>
  </si>
  <si>
    <t xml:space="preserve">уточняю визовые вопросы </t>
  </si>
  <si>
    <t>вношу в отчет авиа оформленные билеты</t>
  </si>
  <si>
    <t>пишу запросы в авиакомпанию по имэйл, делаю звонки в КЦ а/к.</t>
  </si>
  <si>
    <t>проверка очередей ГДС</t>
  </si>
  <si>
    <t>регистрация на рейс</t>
  </si>
  <si>
    <t xml:space="preserve">Другое </t>
  </si>
  <si>
    <t>мониторинг обновлений авиакомпаний, новости, рассылка, семинары и т.д.</t>
  </si>
  <si>
    <t>пересаживаю брони в наши ЛК с целью минимизации стоимсти , заношу в таблицу</t>
  </si>
  <si>
    <t>бронирую вип залы, вношу в трекер, пересылаю счет в бухгалтерию</t>
  </si>
  <si>
    <t>Рохманова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</si>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</sst>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158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161</v>
      </c>
    </row>
    <row r="43" spans="1:2" ht="15.75" customHeight="1" x14ac:dyDescent="0.25">
      <c r="B43" t="s">
        <v>162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tabSelected="1" topLeftCell="M1" workbookViewId="0">
      <selection activeCell="P13" activeCellId="4" sqref="C5 L11:L30 J11:J30 N11:N30 P11:P30 R11:R30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157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71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21</v>
      </c>
      <c r="E11" s="15" t="s">
        <v>13</v>
      </c>
      <c r="F11" s="13">
        <v>30</v>
      </c>
      <c r="G11" s="7" t="s">
        <v>15</v>
      </c>
      <c r="H11" s="7" t="s">
        <v>47</v>
      </c>
      <c r="I11" s="7" t="s">
        <v>49</v>
      </c>
      <c r="J11" s="8"/>
      <c r="K11" s="7"/>
      <c r="L11" s="8"/>
      <c r="M11" s="7"/>
      <c r="N11" s="8"/>
      <c r="O11" s="7"/>
      <c r="P11" s="8"/>
      <c r="Q11" s="7"/>
      <c r="R11" s="8" t="s">
        <v>114</v>
      </c>
      <c r="S11" s="7"/>
      <c r="T11" s="7"/>
      <c r="U11" s="7"/>
      <c r="V11" s="8" t="s">
        <v>31</v>
      </c>
      <c r="W11" s="7"/>
      <c r="X11" s="7"/>
    </row>
    <row r="12" spans="1:26" ht="39.75" customHeight="1" x14ac:dyDescent="0.25">
      <c r="A12" s="6">
        <v>2</v>
      </c>
      <c r="B12" s="7" t="s">
        <v>147</v>
      </c>
      <c r="C12" s="8" t="s">
        <v>11</v>
      </c>
      <c r="D12" s="8" t="s">
        <v>29</v>
      </c>
      <c r="E12" s="8" t="s">
        <v>13</v>
      </c>
      <c r="F12" s="7">
        <v>450</v>
      </c>
      <c r="G12" s="7" t="s">
        <v>15</v>
      </c>
      <c r="H12" s="7"/>
      <c r="I12" s="7" t="s">
        <v>49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/>
      <c r="X12" s="7"/>
    </row>
    <row r="13" spans="1:26" ht="39.75" customHeight="1" x14ac:dyDescent="0.25">
      <c r="A13" s="6">
        <v>3</v>
      </c>
      <c r="B13" s="7" t="s">
        <v>138</v>
      </c>
      <c r="C13" s="8" t="s">
        <v>11</v>
      </c>
      <c r="D13" s="8" t="s">
        <v>29</v>
      </c>
      <c r="E13" s="8" t="s">
        <v>13</v>
      </c>
      <c r="F13" s="7">
        <v>40</v>
      </c>
      <c r="G13" s="7" t="s">
        <v>47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/>
      <c r="X13" s="7"/>
    </row>
    <row r="14" spans="1:26" ht="39.75" customHeight="1" x14ac:dyDescent="0.25">
      <c r="A14" s="6">
        <v>4</v>
      </c>
      <c r="B14" s="7" t="s">
        <v>140</v>
      </c>
      <c r="C14" s="8" t="s">
        <v>11</v>
      </c>
      <c r="D14" s="8" t="s">
        <v>21</v>
      </c>
      <c r="E14" s="8" t="s">
        <v>13</v>
      </c>
      <c r="F14" s="7">
        <v>400</v>
      </c>
      <c r="G14" s="7" t="s">
        <v>15</v>
      </c>
      <c r="H14" s="7" t="s">
        <v>16</v>
      </c>
      <c r="I14" s="7" t="s">
        <v>49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/>
      <c r="X14" s="7"/>
    </row>
    <row r="15" spans="1:26" ht="39.75" customHeight="1" x14ac:dyDescent="0.25">
      <c r="A15" s="6">
        <v>5</v>
      </c>
      <c r="B15" s="7" t="s">
        <v>139</v>
      </c>
      <c r="C15" s="8" t="s">
        <v>11</v>
      </c>
      <c r="D15" s="8" t="s">
        <v>29</v>
      </c>
      <c r="E15" s="8" t="s">
        <v>13</v>
      </c>
      <c r="F15" s="7">
        <v>30</v>
      </c>
      <c r="G15" s="7" t="s">
        <v>15</v>
      </c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/>
      <c r="X15" s="7"/>
    </row>
    <row r="16" spans="1:26" ht="53.45" customHeight="1" x14ac:dyDescent="0.25">
      <c r="A16" s="6">
        <v>6</v>
      </c>
      <c r="B16" s="7" t="s">
        <v>142</v>
      </c>
      <c r="C16" s="8" t="s">
        <v>11</v>
      </c>
      <c r="D16" s="8" t="s">
        <v>29</v>
      </c>
      <c r="E16" s="8" t="s">
        <v>22</v>
      </c>
      <c r="F16" s="7">
        <v>60</v>
      </c>
      <c r="G16" s="7" t="s">
        <v>15</v>
      </c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/>
      <c r="X16" s="7"/>
    </row>
    <row r="17" spans="1:24" ht="39.75" customHeight="1" x14ac:dyDescent="0.25">
      <c r="A17" s="6">
        <v>7</v>
      </c>
      <c r="B17" s="7" t="s">
        <v>141</v>
      </c>
      <c r="C17" s="8" t="s">
        <v>11</v>
      </c>
      <c r="D17" s="8" t="s">
        <v>12</v>
      </c>
      <c r="E17" s="8" t="s">
        <v>13</v>
      </c>
      <c r="F17" s="7">
        <v>400</v>
      </c>
      <c r="G17" s="7" t="s">
        <v>47</v>
      </c>
      <c r="H17" s="7" t="s">
        <v>47</v>
      </c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31</v>
      </c>
      <c r="W17" s="7"/>
      <c r="X17" s="7"/>
    </row>
    <row r="18" spans="1:24" ht="39.75" customHeight="1" x14ac:dyDescent="0.25">
      <c r="A18" s="6">
        <v>8</v>
      </c>
      <c r="B18" s="7" t="s">
        <v>143</v>
      </c>
      <c r="C18" s="8" t="s">
        <v>11</v>
      </c>
      <c r="D18" s="8" t="s">
        <v>29</v>
      </c>
      <c r="E18" s="8" t="s">
        <v>13</v>
      </c>
      <c r="F18" s="7">
        <v>60</v>
      </c>
      <c r="G18" s="7" t="s">
        <v>47</v>
      </c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 t="s">
        <v>31</v>
      </c>
      <c r="W18" s="7"/>
      <c r="X18" s="7"/>
    </row>
    <row r="19" spans="1:24" ht="39.75" customHeight="1" x14ac:dyDescent="0.25">
      <c r="A19" s="6">
        <v>9</v>
      </c>
      <c r="B19" s="7" t="s">
        <v>144</v>
      </c>
      <c r="C19" s="8" t="s">
        <v>11</v>
      </c>
      <c r="D19" s="8" t="s">
        <v>29</v>
      </c>
      <c r="E19" s="8" t="s">
        <v>13</v>
      </c>
      <c r="F19" s="7">
        <v>30</v>
      </c>
      <c r="G19" s="7" t="s">
        <v>47</v>
      </c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 t="s">
        <v>31</v>
      </c>
      <c r="W19" s="7"/>
      <c r="X19" s="7"/>
    </row>
    <row r="20" spans="1:24" ht="39.75" customHeight="1" x14ac:dyDescent="0.25">
      <c r="A20" s="6">
        <v>10</v>
      </c>
      <c r="B20" s="7" t="s">
        <v>145</v>
      </c>
      <c r="C20" s="8" t="s">
        <v>11</v>
      </c>
      <c r="D20" s="8" t="s">
        <v>29</v>
      </c>
      <c r="E20" s="8" t="s">
        <v>13</v>
      </c>
      <c r="F20" s="7">
        <v>20</v>
      </c>
      <c r="G20" s="7" t="s">
        <v>146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 t="s">
        <v>31</v>
      </c>
      <c r="W20" s="7"/>
      <c r="X20" s="7"/>
    </row>
    <row r="21" spans="1:24" ht="39.75" customHeight="1" x14ac:dyDescent="0.25">
      <c r="A21" s="6">
        <v>11</v>
      </c>
      <c r="B21" s="7" t="s">
        <v>148</v>
      </c>
      <c r="C21" s="8" t="s">
        <v>11</v>
      </c>
      <c r="D21" s="8" t="s">
        <v>29</v>
      </c>
      <c r="E21" s="8" t="s">
        <v>46</v>
      </c>
      <c r="F21" s="7">
        <v>30</v>
      </c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 t="s">
        <v>31</v>
      </c>
      <c r="W21" s="7"/>
      <c r="X21" s="7"/>
    </row>
    <row r="22" spans="1:24" ht="39.75" customHeight="1" x14ac:dyDescent="0.25">
      <c r="A22" s="6">
        <v>12</v>
      </c>
      <c r="B22" s="7" t="s">
        <v>155</v>
      </c>
      <c r="C22" s="8" t="s">
        <v>11</v>
      </c>
      <c r="D22" s="8" t="s">
        <v>29</v>
      </c>
      <c r="E22" s="8" t="s">
        <v>13</v>
      </c>
      <c r="F22" s="7">
        <v>60</v>
      </c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31</v>
      </c>
      <c r="W22" s="7"/>
      <c r="X22" s="7"/>
    </row>
    <row r="23" spans="1:24" ht="39.75" customHeight="1" x14ac:dyDescent="0.25">
      <c r="A23" s="6">
        <v>13</v>
      </c>
      <c r="B23" s="7" t="s">
        <v>149</v>
      </c>
      <c r="C23" s="8" t="s">
        <v>11</v>
      </c>
      <c r="D23" s="8" t="s">
        <v>12</v>
      </c>
      <c r="E23" s="8" t="s">
        <v>13</v>
      </c>
      <c r="F23" s="7">
        <v>120</v>
      </c>
      <c r="G23" s="7" t="s">
        <v>15</v>
      </c>
      <c r="H23" s="7" t="s">
        <v>47</v>
      </c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31</v>
      </c>
      <c r="W23" s="7"/>
      <c r="X23" s="7"/>
    </row>
    <row r="24" spans="1:24" ht="39.75" customHeight="1" x14ac:dyDescent="0.25">
      <c r="A24" s="6">
        <v>14</v>
      </c>
      <c r="B24" s="7" t="s">
        <v>150</v>
      </c>
      <c r="C24" s="8" t="s">
        <v>11</v>
      </c>
      <c r="D24" s="8" t="s">
        <v>29</v>
      </c>
      <c r="E24" s="8" t="s">
        <v>22</v>
      </c>
      <c r="F24" s="7">
        <v>20</v>
      </c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/>
      <c r="X24" s="7"/>
    </row>
    <row r="25" spans="1:24" ht="39.75" customHeight="1" x14ac:dyDescent="0.25">
      <c r="A25" s="6">
        <v>15</v>
      </c>
      <c r="B25" s="7" t="s">
        <v>151</v>
      </c>
      <c r="C25" s="8" t="s">
        <v>11</v>
      </c>
      <c r="D25" s="8" t="s">
        <v>38</v>
      </c>
      <c r="E25" s="8" t="s">
        <v>22</v>
      </c>
      <c r="F25" s="7">
        <v>60</v>
      </c>
      <c r="G25" s="7" t="s">
        <v>47</v>
      </c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 t="s">
        <v>31</v>
      </c>
      <c r="W25" s="7"/>
      <c r="X25" s="7"/>
    </row>
    <row r="26" spans="1:24" ht="39.75" customHeight="1" x14ac:dyDescent="0.25">
      <c r="A26" s="6">
        <v>16</v>
      </c>
      <c r="B26" s="7" t="s">
        <v>152</v>
      </c>
      <c r="C26" s="8" t="s">
        <v>11</v>
      </c>
      <c r="D26" s="8" t="s">
        <v>29</v>
      </c>
      <c r="E26" s="8" t="s">
        <v>22</v>
      </c>
      <c r="F26" s="7">
        <v>60</v>
      </c>
      <c r="G26" s="7" t="s">
        <v>153</v>
      </c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/>
      <c r="U26" s="7"/>
      <c r="V26" s="8" t="s">
        <v>31</v>
      </c>
      <c r="W26" s="7"/>
      <c r="X26" s="7"/>
    </row>
    <row r="27" spans="1:24" ht="48" customHeight="1" x14ac:dyDescent="0.25">
      <c r="A27" s="6">
        <v>17</v>
      </c>
      <c r="B27" s="7" t="s">
        <v>154</v>
      </c>
      <c r="C27" s="8" t="s">
        <v>11</v>
      </c>
      <c r="D27" s="8" t="s">
        <v>29</v>
      </c>
      <c r="E27" s="8" t="s">
        <v>22</v>
      </c>
      <c r="F27" s="7">
        <v>120</v>
      </c>
      <c r="G27" s="7" t="s">
        <v>47</v>
      </c>
      <c r="H27" s="7" t="s">
        <v>16</v>
      </c>
      <c r="I27" s="7" t="s">
        <v>47</v>
      </c>
      <c r="J27" s="8"/>
      <c r="K27" s="7"/>
      <c r="L27" s="8"/>
      <c r="M27" s="7"/>
      <c r="N27" s="8"/>
      <c r="O27" s="7"/>
      <c r="P27" s="8"/>
      <c r="Q27" s="7"/>
      <c r="R27" s="8"/>
      <c r="S27" s="7"/>
      <c r="T27" s="7"/>
      <c r="U27" s="7"/>
      <c r="V27" s="8" t="s">
        <v>31</v>
      </c>
      <c r="W27" s="7"/>
      <c r="X27" s="7"/>
    </row>
    <row r="28" spans="1:24" ht="39.75" customHeight="1" x14ac:dyDescent="0.25">
      <c r="A28" s="6">
        <v>18</v>
      </c>
      <c r="B28" s="7" t="s">
        <v>156</v>
      </c>
      <c r="C28" s="8" t="s">
        <v>11</v>
      </c>
      <c r="D28" s="8" t="s">
        <v>38</v>
      </c>
      <c r="E28" s="8" t="s">
        <v>30</v>
      </c>
      <c r="F28" s="7">
        <v>60</v>
      </c>
      <c r="G28" s="7" t="s">
        <v>47</v>
      </c>
      <c r="H28" s="7"/>
      <c r="I28" s="7"/>
      <c r="J28" s="8"/>
      <c r="K28" s="7"/>
      <c r="L28" s="8"/>
      <c r="M28" s="7"/>
      <c r="N28" s="8"/>
      <c r="O28" s="7"/>
      <c r="P28" s="8"/>
      <c r="Q28" s="7"/>
      <c r="R28" s="8"/>
      <c r="S28" s="7"/>
      <c r="T28" s="7"/>
      <c r="U28" s="7"/>
      <c r="V28" s="8" t="s">
        <v>31</v>
      </c>
      <c r="W28" s="7"/>
      <c r="X28" s="7"/>
    </row>
    <row r="29" spans="1:24" ht="39.75" customHeight="1" x14ac:dyDescent="0.25">
      <c r="A29" s="6">
        <v>19</v>
      </c>
      <c r="B29" s="7"/>
      <c r="C29" s="8"/>
      <c r="D29" s="8"/>
      <c r="E29" s="8"/>
      <c r="F29" s="7"/>
      <c r="G29" s="7"/>
      <c r="H29" s="7"/>
      <c r="I29" s="7"/>
      <c r="J29" s="8"/>
      <c r="K29" s="7"/>
      <c r="L29" s="8"/>
      <c r="M29" s="7"/>
      <c r="N29" s="8"/>
      <c r="O29" s="7"/>
      <c r="P29" s="8"/>
      <c r="Q29" s="7"/>
      <c r="R29" s="8"/>
      <c r="S29" s="7"/>
      <c r="T29" s="7"/>
      <c r="U29" s="7"/>
      <c r="V29" s="8"/>
      <c r="W29" s="7"/>
      <c r="X29" s="7"/>
    </row>
    <row r="30" spans="1:24" ht="39.75" customHeight="1" x14ac:dyDescent="0.25">
      <c r="A30" s="6"/>
      <c r="B30" s="7"/>
      <c r="C30" s="8"/>
      <c r="D30" s="8"/>
      <c r="E30" s="8"/>
      <c r="F30" s="7"/>
      <c r="G30" s="7"/>
      <c r="H30" s="7"/>
      <c r="I30" s="7"/>
      <c r="J30" s="8"/>
      <c r="K30" s="7"/>
      <c r="L30" s="8"/>
      <c r="M30" s="7"/>
      <c r="N30" s="8"/>
      <c r="O30" s="7"/>
      <c r="P30" s="8"/>
      <c r="Q30" s="7"/>
      <c r="R30" s="8"/>
      <c r="S30" s="7"/>
      <c r="T30" s="7"/>
      <c r="U30" s="7"/>
      <c r="V30" s="8"/>
      <c r="W30" s="7"/>
      <c r="X30" s="7"/>
    </row>
    <row r="31" spans="1:24" ht="15.75" customHeight="1" x14ac:dyDescent="0.25">
      <c r="A31" s="9" t="s">
        <v>103</v>
      </c>
    </row>
    <row r="32" spans="1:24" ht="15.75" customHeight="1" x14ac:dyDescent="0.25">
      <c r="A32" s="10" t="s">
        <v>104</v>
      </c>
      <c r="B32" s="29" t="e">
        <f ca="1">Выпадающий список(ТОЛЬКО из списка)</f>
        <v>#NAME?</v>
      </c>
      <c r="C32" s="30"/>
      <c r="D32" s="30"/>
      <c r="E32" s="30"/>
    </row>
    <row r="33" spans="1:5" ht="15.75" customHeight="1" x14ac:dyDescent="0.25">
      <c r="A33" s="11" t="s">
        <v>105</v>
      </c>
      <c r="B33" s="29" t="e">
        <f>Можно выбрать из списка ИЛИ написать своё</f>
        <v>#NAME?</v>
      </c>
      <c r="C33" s="30"/>
      <c r="D33" s="30"/>
      <c r="E33" s="30"/>
    </row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8">
    <mergeCell ref="B32:E32"/>
    <mergeCell ref="B33:E33"/>
    <mergeCell ref="A1:X1"/>
    <mergeCell ref="C3:X3"/>
    <mergeCell ref="C4:X4"/>
    <mergeCell ref="C5:X5"/>
    <mergeCell ref="C6:X6"/>
    <mergeCell ref="A8:X8"/>
  </mergeCells>
  <phoneticPr fontId="20" type="noConversion"/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E11:E30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G11:G30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V11:V30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I11:I30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D11:D30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C11:C30</xm:sqref>
        </x14:dataValidation>
        <x14:dataValidation type="list" allowBlank="1" xr:uid="{00000000-0002-0000-0100-000006000000}">
          <x14:formula1>
            <xm:f>Справочники!$B$2:$B$44</xm:f>
          </x14:formula1>
          <xm:sqref>C5 L11:L30 J11:J30 N11:N30 P11:P30 R11:R30</xm:sqref>
        </x14:dataValidation>
        <x14:dataValidation type="list" allowBlank="1" xr:uid="{00000000-0002-0000-0100-000007000000}">
          <x14:formula1>
            <xm:f>Справочники!$H$2:$H$7</xm:f>
          </x14:formula1>
          <xm:sqref>H11:H30</xm:sqref>
        </x14:dataValidation>
        <x14:dataValidation type="list" allowBlank="1" xr:uid="{00000000-0002-0000-0100-000008000000}">
          <x14:formula1>
            <xm:f>Справочники!$J$2:$J$8</xm:f>
          </x14:formula1>
          <xm:sqref>W11:W30</xm:sqref>
        </x14:dataValidation>
        <x14:dataValidation type="list" allowBlank="1" xr:uid="{00000000-0002-0000-0100-000009000000}">
          <x14:formula1>
            <xm:f>Справочники!$K$2:$K$7</xm:f>
          </x14:formula1>
          <xm:sqref>X11:X30</xm:sqref>
        </x14:dataValidation>
        <x14:dataValidation type="list" allowBlank="1" xr:uid="{00000000-0002-0000-0100-00000A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2026-01-26T07:27:09Z</dcterms:modified>
</cp:coreProperties>
</file>