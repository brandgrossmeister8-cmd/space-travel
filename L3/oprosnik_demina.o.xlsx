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ineo\OneDrive\Desktop\Новая папка (2)\"/>
    </mc:Choice>
  </mc:AlternateContent>
  <xr:revisionPtr revIDLastSave="0" documentId="13_ncr:1_{1FBC4B58-C359-4A07-AB77-FFF974F6E4CC}" xr6:coauthVersionLast="47" xr6:coauthVersionMax="47" xr10:uidLastSave="{00000000-0000-0000-0000-000000000000}"/>
  <bookViews>
    <workbookView xWindow="1035" yWindow="3960" windowWidth="21600" windowHeight="12645" activeTab="1" xr2:uid="{00000000-000D-0000-FFFF-FFFF00000000}"/>
  </bookViews>
  <sheets>
    <sheet name="Справочники" sheetId="1" r:id="rId1"/>
    <sheet name="ШАБЛОН"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wL3GsrNzf3Ml5vfv6VC+AHKHkiSu3m0ubyksZ1X6ZxM="/>
    </ext>
  </extLst>
</workbook>
</file>

<file path=xl/calcChain.xml><?xml version="1.0" encoding="utf-8"?>
<calcChain xmlns="http://schemas.openxmlformats.org/spreadsheetml/2006/main">
  <c r="B29" i="2" l="1"/>
  <c r="B28" i="2"/>
</calcChain>
</file>

<file path=xl/sharedStrings.xml><?xml version="1.0" encoding="utf-8"?>
<sst xmlns="http://schemas.openxmlformats.org/spreadsheetml/2006/main" count="235" uniqueCount="175">
  <si>
    <t>ДЕПАРТАМЕНТЫ</t>
  </si>
  <si>
    <t>ОТДЕЛЫ</t>
  </si>
  <si>
    <t>Тип задачи</t>
  </si>
  <si>
    <t>Уровень рутинности</t>
  </si>
  <si>
    <t>Регулярность</t>
  </si>
  <si>
    <t>Приоритет автоматизации</t>
  </si>
  <si>
    <t>Характер задачи (подсказка)</t>
  </si>
  <si>
    <t>Проблема (подсказка)</t>
  </si>
  <si>
    <t>Причина проблемы (подсказка)</t>
  </si>
  <si>
    <t>Ожидаемые результаты (подсказка)</t>
  </si>
  <si>
    <t>Риски (подсказка)</t>
  </si>
  <si>
    <t>Рутинная задача</t>
  </si>
  <si>
    <t>Очень высокий</t>
  </si>
  <si>
    <t>Ежедневно</t>
  </si>
  <si>
    <t>1</t>
  </si>
  <si>
    <t>Ручной ввод данных</t>
  </si>
  <si>
    <t>Не успеваете</t>
  </si>
  <si>
    <t>Нехватка времени</t>
  </si>
  <si>
    <t>Сокращение времени выполнения</t>
  </si>
  <si>
    <t>Снижение качества</t>
  </si>
  <si>
    <t>Проблемная задача</t>
  </si>
  <si>
    <t>Высокий</t>
  </si>
  <si>
    <t>Еженедельно</t>
  </si>
  <si>
    <t>2</t>
  </si>
  <si>
    <t>Обработка текстов</t>
  </si>
  <si>
    <t>Пропускаете</t>
  </si>
  <si>
    <t>Отсутствие информации</t>
  </si>
  <si>
    <t>Снижение количества ошибок</t>
  </si>
  <si>
    <t>Утечка данных</t>
  </si>
  <si>
    <t>Средний</t>
  </si>
  <si>
    <t>Ежемесячно</t>
  </si>
  <si>
    <t>3</t>
  </si>
  <si>
    <t>Обработка изображений</t>
  </si>
  <si>
    <t>Забываете</t>
  </si>
  <si>
    <t>Сложность задачи</t>
  </si>
  <si>
    <t>Освобождение времени для важных задач</t>
  </si>
  <si>
    <t>Сложность настройки</t>
  </si>
  <si>
    <t>Группа визового сопровождения</t>
  </si>
  <si>
    <t>Низкий</t>
  </si>
  <si>
    <t>Ежеквартально</t>
  </si>
  <si>
    <t>Обработка голосовой информации</t>
  </si>
  <si>
    <t>Не дают информацию вовремя</t>
  </si>
  <si>
    <t>Зависимость от других отделов</t>
  </si>
  <si>
    <t>Повышение качества обслуживания клиентов</t>
  </si>
  <si>
    <t>Потеря контроля</t>
  </si>
  <si>
    <t>Отдел бизнес-тревел</t>
  </si>
  <si>
    <t>По запросу</t>
  </si>
  <si>
    <t>Другое</t>
  </si>
  <si>
    <t>Трудно получить информацию</t>
  </si>
  <si>
    <t>Технические проблемы</t>
  </si>
  <si>
    <t>Упрощение коммуникаций</t>
  </si>
  <si>
    <t>Нет рисков</t>
  </si>
  <si>
    <t>Отдел бронирования</t>
  </si>
  <si>
    <t>Снижение стресса</t>
  </si>
  <si>
    <t>Отдел группового бронирования</t>
  </si>
  <si>
    <t>Отдел клиентской поддержки</t>
  </si>
  <si>
    <t>Департамент информационных технологий</t>
  </si>
  <si>
    <t>Отдел контент-маркетинга</t>
  </si>
  <si>
    <t>Отдел маркетинга</t>
  </si>
  <si>
    <t>Администрация</t>
  </si>
  <si>
    <t>Отдел по работе с ключевыми клиентами</t>
  </si>
  <si>
    <t>Отдел рекламы</t>
  </si>
  <si>
    <t>Отдел MICE</t>
  </si>
  <si>
    <t>Офис г. Екатеринбург</t>
  </si>
  <si>
    <t>Офис г. Казань</t>
  </si>
  <si>
    <t>Офис г. Краснодар</t>
  </si>
  <si>
    <t>Офис г. Новосибирск</t>
  </si>
  <si>
    <t>Офис г. Пятигорск</t>
  </si>
  <si>
    <t>Офис г. Самара</t>
  </si>
  <si>
    <t>Офис г. Санкт-Петербург</t>
  </si>
  <si>
    <t>Офис г. Хабаровск</t>
  </si>
  <si>
    <t>Транспортный отдел</t>
  </si>
  <si>
    <t>Чартерная группа</t>
  </si>
  <si>
    <t>Travelluxe (Казахстан)</t>
  </si>
  <si>
    <t>ОПРОСНИК: Анализ задач для автоматизации</t>
  </si>
  <si>
    <t>ФИО:</t>
  </si>
  <si>
    <t>Департамент (список):</t>
  </si>
  <si>
    <t>Отдел (список):</t>
  </si>
  <si>
    <t>Должность (свой текст):</t>
  </si>
  <si>
    <t>ВАШИ ЗАДАЧИ (минимум 5). Голубые = только список, Желтые = свой текст или список</t>
  </si>
  <si>
    <t>№</t>
  </si>
  <si>
    <t>Название
задачи</t>
  </si>
  <si>
    <t>Тип задачи
ТОЛЬКО список</t>
  </si>
  <si>
    <t>Уровень
рутинности
ТОЛЬКО список</t>
  </si>
  <si>
    <t>Регулярность
ТОЛЬКО список</t>
  </si>
  <si>
    <t>Характер
задачи
список+своё</t>
  </si>
  <si>
    <t>Проблема
список+своё</t>
  </si>
  <si>
    <t>Причина
проблемы
список+своё</t>
  </si>
  <si>
    <t>Взаимо-
действие 1
(отдел)</t>
  </si>
  <si>
    <t>Описание
взаимодействия 1</t>
  </si>
  <si>
    <t>Взаимо-
действие 2
(отдел)</t>
  </si>
  <si>
    <t>Описание
взаимодействия 2</t>
  </si>
  <si>
    <t>Взаимо-
действие 3
(отдел)</t>
  </si>
  <si>
    <t>Описание
взаимодействия 3</t>
  </si>
  <si>
    <t>Взаимо-
действие 4
(отдел)</t>
  </si>
  <si>
    <t>Описание
взаимодействия 4</t>
  </si>
  <si>
    <t>Взаимо-
действие 5
(отдел)</t>
  </si>
  <si>
    <t>Описание
взаимодействия 5</t>
  </si>
  <si>
    <t>Внутренние
ресурсы</t>
  </si>
  <si>
    <t>Внешние
ресурсы</t>
  </si>
  <si>
    <t>Приоритет
ТОЛЬКО список</t>
  </si>
  <si>
    <t>Ожидаемые
результаты
список+своё</t>
  </si>
  <si>
    <t>Риски
список+своё</t>
  </si>
  <si>
    <t>ЛЕГЕНДА:</t>
  </si>
  <si>
    <t>🔵 Голубые ячейки</t>
  </si>
  <si>
    <t>🟨 Желтые ячейки</t>
  </si>
  <si>
    <t>Время
(только число!
 только в мин!)</t>
  </si>
  <si>
    <t>глагол + что делаю</t>
  </si>
  <si>
    <t>ТОЛЬКО список</t>
  </si>
  <si>
    <t>Описание логики взаимодействия</t>
  </si>
  <si>
    <r>
      <rPr>
        <b/>
        <sz val="11"/>
        <color rgb="FFFF0000"/>
        <rFont val="Calibri"/>
        <family val="2"/>
        <charset val="204"/>
        <scheme val="minor"/>
      </rPr>
      <t>Только число и только в минутах</t>
    </r>
    <r>
      <rPr>
        <b/>
        <sz val="11"/>
        <color rgb="FF000000"/>
        <rFont val="Calibri"/>
        <family val="2"/>
        <charset val="204"/>
        <scheme val="minor"/>
      </rPr>
      <t xml:space="preserve"> (например: 15, 60, 120 и т.д.)</t>
    </r>
  </si>
  <si>
    <t xml:space="preserve">1-Низкий 
2-Средний 
3-Высокий 
</t>
  </si>
  <si>
    <t>Примеч.</t>
  </si>
  <si>
    <t>Департамент развития взаимоотношений с агентствами</t>
  </si>
  <si>
    <t>Бухгалтерия</t>
  </si>
  <si>
    <t>Департамент по управлению операционными доходами</t>
  </si>
  <si>
    <t>ВИП отдел</t>
  </si>
  <si>
    <t>Департамент въездного туризма, MICE и корпоративного обслуживания</t>
  </si>
  <si>
    <t>Отдел продаж</t>
  </si>
  <si>
    <t xml:space="preserve">Операционный департамент </t>
  </si>
  <si>
    <r>
      <t>Департамент маркетинга и</t>
    </r>
    <r>
      <rPr>
        <sz val="11"/>
        <color rgb="FF000000"/>
        <rFont val="Calibri"/>
        <family val="2"/>
        <charset val="204"/>
      </rPr>
      <t xml:space="preserve"> рекламы</t>
    </r>
  </si>
  <si>
    <t>Отдел круглосуточной работы с клиентами</t>
  </si>
  <si>
    <t>ASM</t>
  </si>
  <si>
    <t>Группа стран «Ближний Восток»</t>
  </si>
  <si>
    <t>Группа стран «Экзотика»</t>
  </si>
  <si>
    <t>Группа стран FIT</t>
  </si>
  <si>
    <t>Группа тарификации</t>
  </si>
  <si>
    <t>Отдел въездного туризма</t>
  </si>
  <si>
    <t>Банковская группа</t>
  </si>
  <si>
    <t>Группа по расчетам с иностранными поставщиками</t>
  </si>
  <si>
    <t>Группа стран «ЮВА»</t>
  </si>
  <si>
    <t>Генеральный директор</t>
  </si>
  <si>
    <t>Первый ЗГД</t>
  </si>
  <si>
    <t>Управление клиентского сервиса</t>
  </si>
  <si>
    <t>Управление по развитию региональных офисов</t>
  </si>
  <si>
    <t>нет отделов</t>
  </si>
  <si>
    <t>Дёмина</t>
  </si>
  <si>
    <t>Старший менеджер отдела по работе с ключевыми клиентами</t>
  </si>
  <si>
    <t>Необходимо заносить данные в разные системы - почта, САМО, гугл таблица, сторонние сайты проверки юр лиц, битрикс</t>
  </si>
  <si>
    <t xml:space="preserve">Дублирование информации </t>
  </si>
  <si>
    <t>САМО,Битрикс, Гугл Таблицы, почта</t>
  </si>
  <si>
    <t>Сайт для проверки ЮЛ</t>
  </si>
  <si>
    <t xml:space="preserve">Упрощение выполнения задачи </t>
  </si>
  <si>
    <t xml:space="preserve"> Необходимо время на обработку запроса, не всегда хватает ресурса компании (информация на сайте отсутсвует или недостаточно, необходима консультация коллеги из других отделов)</t>
  </si>
  <si>
    <t>Сайт компании</t>
  </si>
  <si>
    <t>Гугл, сайты партнеров, сайты отелей</t>
  </si>
  <si>
    <t>Дополнение  информации на сайте, описание отелей, информация по сложным маршрутам(Филлипины, Вьтенам - к примеру то, где необходимы внутренние перелеты, понимание логистики). Общие условия оплаты по направлениям, первостепенная информация, которую могут получить агенты самостоятельно</t>
  </si>
  <si>
    <t>Получаю запрос агента в виде сделки в битриксе от КЦ - открываю сделку, проверяю запрос и могу ли я на него ответить сама. Условия если перевожу запрос коллегам из отдела продаж</t>
  </si>
  <si>
    <t xml:space="preserve">Перевешиваю сделку и лид в битриксе на сотрудника отдела продаж для дальнейшего ответа агенту по запросу </t>
  </si>
  <si>
    <t>Битрикс</t>
  </si>
  <si>
    <t xml:space="preserve">нет проблем </t>
  </si>
  <si>
    <t xml:space="preserve">Уходит много времени на отправку писем, особенно если много регистраций и большой лист ожидания, которому сначала отправляется письмо с информацией что они находятся на листе ожидания, а перед мероприятием направляется письмо с информацией что мы их не можем подтвердить </t>
  </si>
  <si>
    <t>нет проблем</t>
  </si>
  <si>
    <t>Excel, Webanketa</t>
  </si>
  <si>
    <t xml:space="preserve">Программа, в которой было бы можно публиковать мероприятия, анкету для них, и можно было бы сразу участникам направлять из программы подтверждено, лист ожидания или отказ. Что бы письма им уходили автоматически </t>
  </si>
  <si>
    <t>Само, Битрикс</t>
  </si>
  <si>
    <t>Набираю агентов для мероприятия, в частности регистраций. Проверяю список зарегистрированных - вношу их ИНН в Само, смотрю продажи, переношу в Эксель таблицу все необходимые данные из формы регистрации, принимаю решение подтверждать или внести в лист ожидания, отправляю по почте соответсвующее решению письмо. Перед меропиятием обзваниваю с переподтверждением, листу ожидания отказываю путем отправки писем каждому на почту</t>
  </si>
  <si>
    <t xml:space="preserve">Делаю ежемесячный отчет - выгружаю все заявки из само за месяц, выгружаю всех агентов из само (Из отчетов) кто нас продавал за месяц, что бы было проще, далее делаю ВПР формулу, что бы разделить заявки из само по кураторам (в заявках нет возможности отфильтровать именно по курутору). Далее работаю со свомим агентами и заявки - делю по спискам, привожу валюту к общему знаменателю, направляю готовый вариант руководителю, проверяю агентов на предмет бронирования первой заявки </t>
  </si>
  <si>
    <t>Уходит время на обработку большого количества данных, проверку агентов, проверку формул, так как не всегда корректно работает, приведения всех данных к общему знаменателю</t>
  </si>
  <si>
    <t xml:space="preserve">Единый отчет, который можно выгрузит и не потратить на это много времени </t>
  </si>
  <si>
    <t>Получаю информационный запрос от агенства (битрикс, почта, мессенджер) - изучаю вопрос, проверяю могу ли ответить сама, есть ли информация на сайти или на сторонних источниках. Если могу ответить сама</t>
  </si>
  <si>
    <t>Само</t>
  </si>
  <si>
    <t>Excel</t>
  </si>
  <si>
    <t xml:space="preserve">Получаю типовой запрос от агента, где комби наземка и отдельно перелет. На данный запрос могу ответить сама, отправляю запрос на стоимость перелета в авиа отдел, после получения ответа - отвечаю развернуто агенту </t>
  </si>
  <si>
    <t xml:space="preserve">Обработка цифровой и текстовой информации, расчеты </t>
  </si>
  <si>
    <t>Необходимо время на ответ агенту, ответ затягивается так как ждешь информацию</t>
  </si>
  <si>
    <t xml:space="preserve">направляю запрос на общую почту транспортного отдела с необходимыми данными, что бы получить стоимость перелета </t>
  </si>
  <si>
    <t>Сайт компании, почта</t>
  </si>
  <si>
    <t>Работающий конструктор тура с блочными билетами</t>
  </si>
  <si>
    <t>Регистрирую новых агентов в САМО (проверяю данные, переименовываю, довношу информацию, которую не указали, открываю доступы, вношу куратора), создаю компанию в Битриксе, вношу договоры в реестр со всеми данные ЮЛ, отправляю приветственное письмо с договорами, открываю доступ на бронирование, проверяю данные ЮЛ</t>
  </si>
  <si>
    <t>Департамент HR</t>
  </si>
  <si>
    <t>Департамент финансов</t>
  </si>
  <si>
    <t>Группа по привлечению агенств</t>
  </si>
  <si>
    <t>Бухгалтерия группы компаний</t>
  </si>
  <si>
    <t>Финансовый отдел</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</si>
</sst>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scheme val="minor"/>
    </font>
    <font>
      <sz val="11"/>
      <color theme="1"/>
      <name val="Calibri"/>
      <family val="2"/>
      <charset val="204"/>
      <scheme val="minor"/>
    </font>
    <font>
      <sz val="11"/>
      <color theme="1"/>
      <name val="Calibri"/>
      <family val="2"/>
      <charset val="204"/>
      <scheme val="minor"/>
    </font>
    <font>
      <b/>
      <sz val="11"/>
      <color rgb="FFFFFFFF"/>
      <name val="Calibri"/>
      <family val="2"/>
      <charset val="204"/>
      <scheme val="minor"/>
    </font>
    <font>
      <sz val="11"/>
      <color theme="1"/>
      <name val="Calibri"/>
      <family val="2"/>
      <charset val="204"/>
    </font>
    <font>
      <b/>
      <sz val="14"/>
      <color rgb="FFFFFFFF"/>
      <name val="Calibri"/>
      <family val="2"/>
      <charset val="204"/>
      <scheme val="minor"/>
    </font>
    <font>
      <sz val="11"/>
      <name val="Calibri"/>
      <family val="2"/>
      <charset val="204"/>
    </font>
    <font>
      <sz val="11"/>
      <color theme="1"/>
      <name val="Calibri"/>
      <family val="2"/>
      <charset val="204"/>
      <scheme val="minor"/>
    </font>
    <font>
      <b/>
      <sz val="12"/>
      <color theme="1"/>
      <name val="Calibri"/>
      <family val="2"/>
      <charset val="204"/>
      <scheme val="minor"/>
    </font>
    <font>
      <b/>
      <sz val="14"/>
      <color rgb="FF000000"/>
      <name val="Calibri"/>
      <family val="2"/>
      <charset val="204"/>
      <scheme val="minor"/>
    </font>
    <font>
      <sz val="14"/>
      <color rgb="FF000000"/>
      <name val="Calibri"/>
      <family val="2"/>
      <charset val="204"/>
      <scheme val="minor"/>
    </font>
    <font>
      <b/>
      <sz val="11"/>
      <color theme="1"/>
      <name val="Calibri"/>
      <family val="2"/>
      <charset val="204"/>
      <scheme val="minor"/>
    </font>
    <font>
      <b/>
      <sz val="11"/>
      <color theme="1"/>
      <name val="Calibri"/>
      <family val="2"/>
      <charset val="204"/>
      <scheme val="minor"/>
    </font>
    <font>
      <sz val="11"/>
      <color theme="1"/>
      <name val="Calibri"/>
      <family val="2"/>
      <charset val="204"/>
    </font>
    <font>
      <b/>
      <sz val="11"/>
      <color rgb="FF000000"/>
      <name val="Calibri"/>
      <family val="2"/>
      <charset val="204"/>
      <scheme val="minor"/>
    </font>
    <font>
      <b/>
      <sz val="11"/>
      <color rgb="FFFF0000"/>
      <name val="Calibri"/>
      <family val="2"/>
      <charset val="204"/>
      <scheme val="minor"/>
    </font>
    <font>
      <sz val="11"/>
      <color rgb="FF000000"/>
      <name val="Calibri"/>
      <family val="2"/>
      <charset val="204"/>
      <scheme val="minor"/>
    </font>
    <font>
      <sz val="10"/>
      <color theme="1"/>
      <name val="Times New Roman"/>
      <family val="1"/>
      <charset val="204"/>
    </font>
    <font>
      <sz val="11"/>
      <color rgb="FF000000"/>
      <name val="Calibri"/>
      <family val="2"/>
      <charset val="204"/>
    </font>
    <font>
      <sz val="11"/>
      <color rgb="FF18181B"/>
      <name val="Calibri"/>
      <family val="2"/>
      <charset val="204"/>
      <scheme val="minor"/>
    </font>
  </fonts>
  <fills count="8">
    <fill>
      <patternFill patternType="none"/>
    </fill>
    <fill>
      <patternFill patternType="gray125"/>
    </fill>
    <fill>
      <patternFill patternType="solid">
        <fgColor rgb="FF4472C4"/>
        <bgColor rgb="FF4472C4"/>
      </patternFill>
    </fill>
    <fill>
      <patternFill patternType="solid">
        <fgColor rgb="FFFFF2CC"/>
        <bgColor rgb="FFFFF2CC"/>
      </patternFill>
    </fill>
    <fill>
      <patternFill patternType="solid">
        <fgColor rgb="FFDDEBF7"/>
        <bgColor rgb="FFDDEBF7"/>
      </patternFill>
    </fill>
    <fill>
      <patternFill patternType="solid">
        <fgColor rgb="FF5B9BD5"/>
        <bgColor rgb="FF5B9BD5"/>
      </patternFill>
    </fill>
    <fill>
      <patternFill patternType="solid">
        <fgColor theme="0"/>
        <bgColor rgb="FF5B9BD5"/>
      </patternFill>
    </fill>
    <fill>
      <patternFill patternType="solid">
        <fgColor theme="0"/>
        <bgColor indexed="64"/>
      </patternFill>
    </fill>
  </fills>
  <borders count="1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7">
    <xf numFmtId="0" fontId="0" fillId="0" borderId="0" xfId="0"/>
    <xf numFmtId="0" fontId="3" fillId="2" borderId="1" xfId="0" applyFont="1" applyFill="1" applyBorder="1"/>
    <xf numFmtId="0" fontId="4" fillId="0" borderId="0" xfId="0" applyFont="1" applyAlignment="1">
      <alignment vertical="top" wrapText="1"/>
    </xf>
    <xf numFmtId="0" fontId="7" fillId="0" borderId="0" xfId="0" applyFont="1"/>
    <xf numFmtId="0" fontId="9" fillId="5" borderId="5" xfId="0" applyFont="1" applyFill="1" applyBorder="1" applyAlignment="1">
      <alignment horizontal="center" vertical="center" wrapText="1"/>
    </xf>
    <xf numFmtId="0" fontId="10" fillId="0" borderId="0" xfId="0" applyFont="1"/>
    <xf numFmtId="0" fontId="4" fillId="0" borderId="5" xfId="0" applyFont="1" applyBorder="1" applyAlignment="1">
      <alignment vertical="top" wrapText="1"/>
    </xf>
    <xf numFmtId="0" fontId="4" fillId="3" borderId="5" xfId="0" applyFont="1" applyFill="1" applyBorder="1" applyAlignment="1">
      <alignment vertical="top" wrapText="1"/>
    </xf>
    <xf numFmtId="0" fontId="4" fillId="4" borderId="5" xfId="0" applyFont="1" applyFill="1" applyBorder="1" applyAlignment="1">
      <alignment vertical="top" wrapText="1"/>
    </xf>
    <xf numFmtId="0" fontId="11" fillId="0" borderId="0" xfId="0" applyFont="1"/>
    <xf numFmtId="0" fontId="4" fillId="4" borderId="1" xfId="0" applyFont="1" applyFill="1" applyBorder="1"/>
    <xf numFmtId="0" fontId="4" fillId="3" borderId="1" xfId="0" applyFont="1" applyFill="1" applyBorder="1"/>
    <xf numFmtId="0" fontId="9" fillId="5" borderId="9" xfId="0" applyFont="1" applyFill="1" applyBorder="1" applyAlignment="1">
      <alignment horizontal="center" vertical="center" wrapText="1"/>
    </xf>
    <xf numFmtId="0" fontId="4" fillId="3" borderId="10" xfId="0" applyFont="1" applyFill="1" applyBorder="1" applyAlignment="1">
      <alignment vertical="top" wrapText="1"/>
    </xf>
    <xf numFmtId="0" fontId="13" fillId="4" borderId="10" xfId="0" applyFont="1" applyFill="1" applyBorder="1" applyAlignment="1">
      <alignment vertical="top" wrapText="1"/>
    </xf>
    <xf numFmtId="0" fontId="4" fillId="4" borderId="10" xfId="0" applyFont="1" applyFill="1" applyBorder="1" applyAlignment="1">
      <alignment vertical="top" wrapText="1"/>
    </xf>
    <xf numFmtId="0" fontId="14" fillId="6" borderId="6" xfId="0" applyFont="1" applyFill="1" applyBorder="1" applyAlignment="1">
      <alignment horizontal="center" vertical="top" wrapText="1"/>
    </xf>
    <xf numFmtId="0" fontId="12" fillId="0" borderId="6" xfId="0" applyFont="1" applyBorder="1" applyAlignment="1">
      <alignment horizontal="center" vertical="top"/>
    </xf>
    <xf numFmtId="0" fontId="14" fillId="6" borderId="7" xfId="0" applyFont="1" applyFill="1" applyBorder="1" applyAlignment="1">
      <alignment horizontal="center" vertical="top" wrapText="1"/>
    </xf>
    <xf numFmtId="0" fontId="14" fillId="6" borderId="8" xfId="0" applyFont="1" applyFill="1" applyBorder="1" applyAlignment="1">
      <alignment horizontal="center" vertical="top" wrapText="1"/>
    </xf>
    <xf numFmtId="0" fontId="14" fillId="6" borderId="5" xfId="0" applyFont="1" applyFill="1" applyBorder="1" applyAlignment="1">
      <alignment horizontal="center" vertical="top" wrapText="1"/>
    </xf>
    <xf numFmtId="0" fontId="12" fillId="0" borderId="0" xfId="0" applyFont="1" applyAlignment="1">
      <alignment horizontal="center" vertical="top" wrapText="1"/>
    </xf>
    <xf numFmtId="0" fontId="16" fillId="7" borderId="0" xfId="0" applyFont="1" applyFill="1" applyAlignment="1">
      <alignment horizontal="center" vertical="top"/>
    </xf>
    <xf numFmtId="0" fontId="2" fillId="7" borderId="0" xfId="0" applyFont="1" applyFill="1" applyAlignment="1">
      <alignment horizontal="center" vertical="top"/>
    </xf>
    <xf numFmtId="0" fontId="18" fillId="0" borderId="0" xfId="0" applyFont="1" applyAlignment="1">
      <alignment vertical="top" wrapText="1"/>
    </xf>
    <xf numFmtId="0" fontId="18" fillId="0" borderId="0" xfId="0" applyFont="1" applyAlignment="1">
      <alignment vertical="top"/>
    </xf>
    <xf numFmtId="0" fontId="17" fillId="0" borderId="0" xfId="0" applyFont="1" applyAlignment="1">
      <alignment vertical="top"/>
    </xf>
    <xf numFmtId="0" fontId="19" fillId="0" borderId="0" xfId="0" applyFont="1"/>
    <xf numFmtId="0" fontId="1" fillId="0" borderId="0" xfId="0" applyFont="1"/>
    <xf numFmtId="0" fontId="7" fillId="0" borderId="0" xfId="0" applyFont="1"/>
    <xf numFmtId="0" fontId="0" fillId="0" borderId="0" xfId="0"/>
    <xf numFmtId="0" fontId="5" fillId="2" borderId="2" xfId="0" applyFont="1" applyFill="1" applyBorder="1" applyAlignment="1">
      <alignment horizontal="center" vertical="center"/>
    </xf>
    <xf numFmtId="0" fontId="6" fillId="0" borderId="3" xfId="0" applyFont="1" applyBorder="1"/>
    <xf numFmtId="0" fontId="6" fillId="0" borderId="4" xfId="0" applyFont="1" applyBorder="1"/>
    <xf numFmtId="0" fontId="4" fillId="3" borderId="2" xfId="0" applyFont="1" applyFill="1" applyBorder="1"/>
    <xf numFmtId="0" fontId="4" fillId="4" borderId="2" xfId="0" applyFont="1" applyFill="1" applyBorder="1"/>
    <xf numFmtId="0" fontId="8" fillId="0" borderId="0" xfId="0" applyFon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00"/>
  <sheetViews>
    <sheetView topLeftCell="A2" workbookViewId="0">
      <selection activeCell="A2" sqref="A2:B43"/>
    </sheetView>
  </sheetViews>
  <sheetFormatPr defaultColWidth="14.42578125" defaultRowHeight="15" customHeight="1" x14ac:dyDescent="0.25"/>
  <cols>
    <col min="1" max="11" width="50" customWidth="1"/>
    <col min="12" max="26" width="8.71093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ht="30" x14ac:dyDescent="0.25">
      <c r="A2" s="24" t="s">
        <v>113</v>
      </c>
      <c r="B2" s="24" t="s">
        <v>114</v>
      </c>
      <c r="C2" s="2" t="s">
        <v>11</v>
      </c>
      <c r="D2" s="2" t="s">
        <v>12</v>
      </c>
      <c r="E2" s="2" t="s">
        <v>13</v>
      </c>
      <c r="F2" s="2" t="s">
        <v>14</v>
      </c>
      <c r="G2" s="2" t="s">
        <v>15</v>
      </c>
      <c r="H2" s="2" t="s">
        <v>16</v>
      </c>
      <c r="I2" s="2" t="s">
        <v>17</v>
      </c>
      <c r="J2" s="2" t="s">
        <v>18</v>
      </c>
      <c r="K2" s="2" t="s">
        <v>19</v>
      </c>
    </row>
    <row r="3" spans="1:11" ht="30" x14ac:dyDescent="0.25">
      <c r="A3" s="24" t="s">
        <v>115</v>
      </c>
      <c r="B3" s="24" t="s">
        <v>116</v>
      </c>
      <c r="C3" s="2" t="s">
        <v>20</v>
      </c>
      <c r="D3" s="2" t="s">
        <v>21</v>
      </c>
      <c r="E3" s="2" t="s">
        <v>22</v>
      </c>
      <c r="F3" s="2" t="s">
        <v>23</v>
      </c>
      <c r="G3" s="2" t="s">
        <v>24</v>
      </c>
      <c r="H3" s="2" t="s">
        <v>25</v>
      </c>
      <c r="I3" s="2" t="s">
        <v>26</v>
      </c>
      <c r="J3" s="2" t="s">
        <v>27</v>
      </c>
      <c r="K3" s="2" t="s">
        <v>28</v>
      </c>
    </row>
    <row r="4" spans="1:11" ht="30" x14ac:dyDescent="0.25">
      <c r="A4" s="24" t="s">
        <v>117</v>
      </c>
      <c r="B4" s="24" t="s">
        <v>118</v>
      </c>
      <c r="D4" s="2" t="s">
        <v>29</v>
      </c>
      <c r="E4" s="2" t="s">
        <v>30</v>
      </c>
      <c r="F4" s="2" t="s">
        <v>31</v>
      </c>
      <c r="G4" s="2" t="s">
        <v>32</v>
      </c>
      <c r="H4" s="2" t="s">
        <v>33</v>
      </c>
      <c r="I4" s="2" t="s">
        <v>34</v>
      </c>
      <c r="J4" s="2" t="s">
        <v>35</v>
      </c>
      <c r="K4" s="2" t="s">
        <v>36</v>
      </c>
    </row>
    <row r="5" spans="1:11" x14ac:dyDescent="0.25">
      <c r="A5" s="24" t="s">
        <v>170</v>
      </c>
      <c r="B5" s="24" t="s">
        <v>37</v>
      </c>
      <c r="D5" s="2" t="s">
        <v>38</v>
      </c>
      <c r="E5" s="2" t="s">
        <v>39</v>
      </c>
      <c r="G5" s="2" t="s">
        <v>40</v>
      </c>
      <c r="H5" s="2" t="s">
        <v>41</v>
      </c>
      <c r="I5" s="2" t="s">
        <v>42</v>
      </c>
      <c r="J5" s="2" t="s">
        <v>43</v>
      </c>
      <c r="K5" s="2" t="s">
        <v>44</v>
      </c>
    </row>
    <row r="6" spans="1:11" x14ac:dyDescent="0.25">
      <c r="A6" s="24" t="s">
        <v>119</v>
      </c>
      <c r="B6" s="24" t="s">
        <v>45</v>
      </c>
      <c r="E6" s="2" t="s">
        <v>46</v>
      </c>
      <c r="G6" s="2" t="s">
        <v>47</v>
      </c>
      <c r="H6" s="2" t="s">
        <v>48</v>
      </c>
      <c r="I6" s="2" t="s">
        <v>49</v>
      </c>
      <c r="J6" s="2" t="s">
        <v>50</v>
      </c>
      <c r="K6" s="2" t="s">
        <v>51</v>
      </c>
    </row>
    <row r="7" spans="1:11" x14ac:dyDescent="0.25">
      <c r="A7" s="2" t="s">
        <v>120</v>
      </c>
      <c r="B7" s="24" t="s">
        <v>52</v>
      </c>
      <c r="H7" s="2" t="s">
        <v>47</v>
      </c>
      <c r="I7" s="2" t="s">
        <v>47</v>
      </c>
      <c r="J7" s="2" t="s">
        <v>53</v>
      </c>
      <c r="K7" s="2" t="s">
        <v>47</v>
      </c>
    </row>
    <row r="8" spans="1:11" x14ac:dyDescent="0.25">
      <c r="A8" s="24" t="s">
        <v>56</v>
      </c>
      <c r="B8" s="24" t="s">
        <v>54</v>
      </c>
      <c r="J8" s="2" t="s">
        <v>47</v>
      </c>
    </row>
    <row r="9" spans="1:11" x14ac:dyDescent="0.25">
      <c r="A9" s="24" t="s">
        <v>171</v>
      </c>
      <c r="B9" s="24" t="s">
        <v>55</v>
      </c>
    </row>
    <row r="10" spans="1:11" x14ac:dyDescent="0.25">
      <c r="A10" s="24" t="s">
        <v>59</v>
      </c>
      <c r="B10" s="24" t="s">
        <v>121</v>
      </c>
    </row>
    <row r="11" spans="1:11" x14ac:dyDescent="0.25">
      <c r="A11" s="24" t="s">
        <v>73</v>
      </c>
      <c r="B11" s="24" t="s">
        <v>57</v>
      </c>
    </row>
    <row r="12" spans="1:11" x14ac:dyDescent="0.25">
      <c r="A12" s="24" t="s">
        <v>122</v>
      </c>
      <c r="B12" s="24" t="s">
        <v>58</v>
      </c>
    </row>
    <row r="13" spans="1:11" x14ac:dyDescent="0.25">
      <c r="B13" s="24" t="s">
        <v>60</v>
      </c>
    </row>
    <row r="14" spans="1:11" x14ac:dyDescent="0.25">
      <c r="A14" s="25"/>
      <c r="B14" s="24" t="s">
        <v>123</v>
      </c>
    </row>
    <row r="15" spans="1:11" x14ac:dyDescent="0.25">
      <c r="A15" s="25"/>
      <c r="B15" s="24" t="s">
        <v>124</v>
      </c>
    </row>
    <row r="16" spans="1:11" x14ac:dyDescent="0.25">
      <c r="A16" s="26"/>
      <c r="B16" s="24" t="s">
        <v>125</v>
      </c>
    </row>
    <row r="17" spans="1:2" x14ac:dyDescent="0.25">
      <c r="A17" s="26"/>
      <c r="B17" s="24" t="s">
        <v>126</v>
      </c>
    </row>
    <row r="18" spans="1:2" x14ac:dyDescent="0.25">
      <c r="A18" s="26"/>
      <c r="B18" s="24" t="s">
        <v>61</v>
      </c>
    </row>
    <row r="19" spans="1:2" x14ac:dyDescent="0.25">
      <c r="A19" s="26"/>
      <c r="B19" s="24" t="s">
        <v>62</v>
      </c>
    </row>
    <row r="20" spans="1:2" x14ac:dyDescent="0.25">
      <c r="A20" s="26"/>
      <c r="B20" s="24" t="s">
        <v>63</v>
      </c>
    </row>
    <row r="21" spans="1:2" ht="15.75" customHeight="1" x14ac:dyDescent="0.25">
      <c r="A21" s="26"/>
      <c r="B21" s="24" t="s">
        <v>64</v>
      </c>
    </row>
    <row r="22" spans="1:2" ht="15.75" customHeight="1" x14ac:dyDescent="0.25">
      <c r="A22" s="26"/>
      <c r="B22" s="24" t="s">
        <v>65</v>
      </c>
    </row>
    <row r="23" spans="1:2" ht="15.75" customHeight="1" x14ac:dyDescent="0.25">
      <c r="A23" s="26"/>
      <c r="B23" s="24" t="s">
        <v>66</v>
      </c>
    </row>
    <row r="24" spans="1:2" ht="15.75" customHeight="1" x14ac:dyDescent="0.25">
      <c r="A24" s="26"/>
      <c r="B24" s="24" t="s">
        <v>67</v>
      </c>
    </row>
    <row r="25" spans="1:2" ht="15.75" customHeight="1" x14ac:dyDescent="0.25">
      <c r="A25" s="26"/>
      <c r="B25" s="24" t="s">
        <v>68</v>
      </c>
    </row>
    <row r="26" spans="1:2" ht="15.75" customHeight="1" x14ac:dyDescent="0.25">
      <c r="A26" s="26"/>
      <c r="B26" s="24" t="s">
        <v>69</v>
      </c>
    </row>
    <row r="27" spans="1:2" ht="15.75" customHeight="1" x14ac:dyDescent="0.25">
      <c r="A27" s="26"/>
      <c r="B27" s="24" t="s">
        <v>70</v>
      </c>
    </row>
    <row r="28" spans="1:2" ht="15.75" customHeight="1" x14ac:dyDescent="0.25">
      <c r="A28" s="26"/>
      <c r="B28" s="24" t="s">
        <v>127</v>
      </c>
    </row>
    <row r="29" spans="1:2" ht="15.75" customHeight="1" x14ac:dyDescent="0.25">
      <c r="A29" s="26"/>
      <c r="B29" s="24" t="s">
        <v>71</v>
      </c>
    </row>
    <row r="30" spans="1:2" ht="15.75" customHeight="1" x14ac:dyDescent="0.25">
      <c r="A30" s="26"/>
      <c r="B30" s="24" t="s">
        <v>128</v>
      </c>
    </row>
    <row r="31" spans="1:2" ht="15.75" customHeight="1" x14ac:dyDescent="0.25">
      <c r="A31" s="26"/>
      <c r="B31" s="24" t="s">
        <v>129</v>
      </c>
    </row>
    <row r="32" spans="1:2" ht="15.75" customHeight="1" x14ac:dyDescent="0.25">
      <c r="A32" s="26"/>
      <c r="B32" s="24" t="s">
        <v>72</v>
      </c>
    </row>
    <row r="33" spans="1:2" ht="15.75" customHeight="1" x14ac:dyDescent="0.25">
      <c r="A33" s="26"/>
      <c r="B33" s="24" t="s">
        <v>172</v>
      </c>
    </row>
    <row r="34" spans="1:2" ht="15.75" customHeight="1" x14ac:dyDescent="0.25">
      <c r="A34" s="25"/>
      <c r="B34" s="24" t="s">
        <v>130</v>
      </c>
    </row>
    <row r="35" spans="1:2" ht="15.75" customHeight="1" x14ac:dyDescent="0.25">
      <c r="B35" s="24" t="s">
        <v>131</v>
      </c>
    </row>
    <row r="36" spans="1:2" ht="15.75" customHeight="1" x14ac:dyDescent="0.25">
      <c r="B36" s="24" t="s">
        <v>132</v>
      </c>
    </row>
    <row r="37" spans="1:2" ht="15.75" customHeight="1" x14ac:dyDescent="0.25">
      <c r="B37" s="28" t="s">
        <v>133</v>
      </c>
    </row>
    <row r="38" spans="1:2" ht="15.75" customHeight="1" x14ac:dyDescent="0.25">
      <c r="B38" s="27" t="s">
        <v>134</v>
      </c>
    </row>
    <row r="39" spans="1:2" ht="15.75" customHeight="1" x14ac:dyDescent="0.25">
      <c r="B39" s="24" t="s">
        <v>170</v>
      </c>
    </row>
    <row r="40" spans="1:2" ht="15.75" customHeight="1" x14ac:dyDescent="0.25">
      <c r="B40" s="24" t="s">
        <v>56</v>
      </c>
    </row>
    <row r="41" spans="1:2" ht="15.75" customHeight="1" x14ac:dyDescent="0.25">
      <c r="B41" s="28" t="s">
        <v>135</v>
      </c>
    </row>
    <row r="42" spans="1:2" ht="15.75" customHeight="1" x14ac:dyDescent="0.25">
      <c r="B42" t="s">
        <v>173</v>
      </c>
    </row>
    <row r="43" spans="1:2" ht="15.75" customHeight="1" x14ac:dyDescent="0.25">
      <c r="B43" t="s">
        <v>174</v>
      </c>
    </row>
    <row r="44" spans="1:2" ht="15.75" customHeight="1" x14ac:dyDescent="0.25"/>
    <row r="45" spans="1:2" ht="15.75" customHeight="1" x14ac:dyDescent="0.25"/>
    <row r="46" spans="1:2" ht="15.75" customHeight="1" x14ac:dyDescent="0.25"/>
    <row r="47" spans="1:2" ht="15.75" customHeight="1" x14ac:dyDescent="0.25"/>
    <row r="48" spans="1:2"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abSelected="1" topLeftCell="H10" workbookViewId="0">
      <selection activeCell="J11" activeCellId="4" sqref="C5 R11:R25 P11:P25 N11:N25 J11:J25 L11:L25"/>
    </sheetView>
  </sheetViews>
  <sheetFormatPr defaultColWidth="14.42578125" defaultRowHeight="15" customHeight="1" x14ac:dyDescent="0.25"/>
  <cols>
    <col min="1" max="1" width="10.85546875" customWidth="1"/>
    <col min="2" max="2" width="35" customWidth="1"/>
    <col min="3" max="3" width="28.5703125" customWidth="1"/>
    <col min="4" max="4" width="25.28515625" customWidth="1"/>
    <col min="5" max="5" width="26.42578125" customWidth="1"/>
    <col min="6" max="6" width="26.5703125" customWidth="1"/>
    <col min="7" max="7" width="21.28515625" customWidth="1"/>
    <col min="8" max="8" width="23.42578125" customWidth="1"/>
    <col min="9" max="9" width="22" customWidth="1"/>
    <col min="10" max="10" width="20" customWidth="1"/>
    <col min="11" max="11" width="25" customWidth="1"/>
    <col min="12" max="12" width="20" customWidth="1"/>
    <col min="13" max="13" width="25" customWidth="1"/>
    <col min="14" max="14" width="20" customWidth="1"/>
    <col min="15" max="15" width="25" customWidth="1"/>
    <col min="16" max="16" width="20" customWidth="1"/>
    <col min="17" max="17" width="25" customWidth="1"/>
    <col min="18" max="18" width="20" customWidth="1"/>
    <col min="19" max="19" width="25" customWidth="1"/>
    <col min="20" max="20" width="25.7109375" customWidth="1"/>
    <col min="21" max="21" width="18" customWidth="1"/>
    <col min="22" max="22" width="19.28515625" customWidth="1"/>
    <col min="23" max="24" width="20" customWidth="1"/>
    <col min="25" max="26" width="8.7109375" customWidth="1"/>
  </cols>
  <sheetData>
    <row r="1" spans="1:26" ht="30" customHeight="1" x14ac:dyDescent="0.25">
      <c r="A1" s="31" t="s">
        <v>74</v>
      </c>
      <c r="B1" s="32"/>
      <c r="C1" s="32"/>
      <c r="D1" s="32"/>
      <c r="E1" s="32"/>
      <c r="F1" s="32"/>
      <c r="G1" s="32"/>
      <c r="H1" s="32"/>
      <c r="I1" s="32"/>
      <c r="J1" s="32"/>
      <c r="K1" s="32"/>
      <c r="L1" s="32"/>
      <c r="M1" s="32"/>
      <c r="N1" s="32"/>
      <c r="O1" s="32"/>
      <c r="P1" s="32"/>
      <c r="Q1" s="32"/>
      <c r="R1" s="32"/>
      <c r="S1" s="32"/>
      <c r="T1" s="32"/>
      <c r="U1" s="32"/>
      <c r="V1" s="32"/>
      <c r="W1" s="32"/>
      <c r="X1" s="33"/>
    </row>
    <row r="3" spans="1:26" x14ac:dyDescent="0.25">
      <c r="B3" s="3" t="s">
        <v>75</v>
      </c>
      <c r="C3" s="34" t="s">
        <v>136</v>
      </c>
      <c r="D3" s="32"/>
      <c r="E3" s="32"/>
      <c r="F3" s="32"/>
      <c r="G3" s="32"/>
      <c r="H3" s="32"/>
      <c r="I3" s="32"/>
      <c r="J3" s="32"/>
      <c r="K3" s="32"/>
      <c r="L3" s="32"/>
      <c r="M3" s="32"/>
      <c r="N3" s="32"/>
      <c r="O3" s="32"/>
      <c r="P3" s="32"/>
      <c r="Q3" s="32"/>
      <c r="R3" s="32"/>
      <c r="S3" s="32"/>
      <c r="T3" s="32"/>
      <c r="U3" s="32"/>
      <c r="V3" s="32"/>
      <c r="W3" s="32"/>
      <c r="X3" s="33"/>
    </row>
    <row r="4" spans="1:26" x14ac:dyDescent="0.25">
      <c r="B4" s="3" t="s">
        <v>76</v>
      </c>
      <c r="C4" s="35" t="s">
        <v>113</v>
      </c>
      <c r="D4" s="32"/>
      <c r="E4" s="32"/>
      <c r="F4" s="32"/>
      <c r="G4" s="32"/>
      <c r="H4" s="32"/>
      <c r="I4" s="32"/>
      <c r="J4" s="32"/>
      <c r="K4" s="32"/>
      <c r="L4" s="32"/>
      <c r="M4" s="32"/>
      <c r="N4" s="32"/>
      <c r="O4" s="32"/>
      <c r="P4" s="32"/>
      <c r="Q4" s="32"/>
      <c r="R4" s="32"/>
      <c r="S4" s="32"/>
      <c r="T4" s="32"/>
      <c r="U4" s="32"/>
      <c r="V4" s="32"/>
      <c r="W4" s="32"/>
      <c r="X4" s="33"/>
    </row>
    <row r="5" spans="1:26" x14ac:dyDescent="0.25">
      <c r="B5" s="3" t="s">
        <v>77</v>
      </c>
      <c r="C5" s="35" t="s">
        <v>69</v>
      </c>
      <c r="D5" s="32"/>
      <c r="E5" s="32"/>
      <c r="F5" s="32"/>
      <c r="G5" s="32"/>
      <c r="H5" s="32"/>
      <c r="I5" s="32"/>
      <c r="J5" s="32"/>
      <c r="K5" s="32"/>
      <c r="L5" s="32"/>
      <c r="M5" s="32"/>
      <c r="N5" s="32"/>
      <c r="O5" s="32"/>
      <c r="P5" s="32"/>
      <c r="Q5" s="32"/>
      <c r="R5" s="32"/>
      <c r="S5" s="32"/>
      <c r="T5" s="32"/>
      <c r="U5" s="32"/>
      <c r="V5" s="32"/>
      <c r="W5" s="32"/>
      <c r="X5" s="33"/>
    </row>
    <row r="6" spans="1:26" x14ac:dyDescent="0.25">
      <c r="B6" s="3" t="s">
        <v>78</v>
      </c>
      <c r="C6" s="34" t="s">
        <v>137</v>
      </c>
      <c r="D6" s="32"/>
      <c r="E6" s="32"/>
      <c r="F6" s="32"/>
      <c r="G6" s="32"/>
      <c r="H6" s="32"/>
      <c r="I6" s="32"/>
      <c r="J6" s="32"/>
      <c r="K6" s="32"/>
      <c r="L6" s="32"/>
      <c r="M6" s="32"/>
      <c r="N6" s="32"/>
      <c r="O6" s="32"/>
      <c r="P6" s="32"/>
      <c r="Q6" s="32"/>
      <c r="R6" s="32"/>
      <c r="S6" s="32"/>
      <c r="T6" s="32"/>
      <c r="U6" s="32"/>
      <c r="V6" s="32"/>
      <c r="W6" s="32"/>
      <c r="X6" s="33"/>
    </row>
    <row r="8" spans="1:26" ht="15.75" x14ac:dyDescent="0.25">
      <c r="A8" s="36" t="s">
        <v>79</v>
      </c>
      <c r="B8" s="30"/>
      <c r="C8" s="30"/>
      <c r="D8" s="30"/>
      <c r="E8" s="30"/>
      <c r="F8" s="30"/>
      <c r="G8" s="30"/>
      <c r="H8" s="30"/>
      <c r="I8" s="30"/>
      <c r="J8" s="30"/>
      <c r="K8" s="30"/>
      <c r="L8" s="30"/>
      <c r="M8" s="30"/>
      <c r="N8" s="30"/>
      <c r="O8" s="30"/>
      <c r="P8" s="30"/>
      <c r="Q8" s="30"/>
      <c r="R8" s="30"/>
      <c r="S8" s="30"/>
      <c r="T8" s="30"/>
      <c r="U8" s="30"/>
      <c r="V8" s="30"/>
      <c r="W8" s="30"/>
      <c r="X8" s="30"/>
    </row>
    <row r="9" spans="1:26" ht="97.15" customHeight="1" x14ac:dyDescent="0.3">
      <c r="A9" s="4" t="s">
        <v>80</v>
      </c>
      <c r="B9" s="12" t="s">
        <v>81</v>
      </c>
      <c r="C9" s="12" t="s">
        <v>82</v>
      </c>
      <c r="D9" s="12" t="s">
        <v>83</v>
      </c>
      <c r="E9" s="12" t="s">
        <v>84</v>
      </c>
      <c r="F9" s="12" t="s">
        <v>106</v>
      </c>
      <c r="G9" s="4" t="s">
        <v>85</v>
      </c>
      <c r="H9" s="4" t="s">
        <v>86</v>
      </c>
      <c r="I9" s="4" t="s">
        <v>87</v>
      </c>
      <c r="J9" s="4" t="s">
        <v>88</v>
      </c>
      <c r="K9" s="4" t="s">
        <v>89</v>
      </c>
      <c r="L9" s="4" t="s">
        <v>90</v>
      </c>
      <c r="M9" s="4" t="s">
        <v>91</v>
      </c>
      <c r="N9" s="4" t="s">
        <v>92</v>
      </c>
      <c r="O9" s="4" t="s">
        <v>93</v>
      </c>
      <c r="P9" s="4" t="s">
        <v>94</v>
      </c>
      <c r="Q9" s="4" t="s">
        <v>95</v>
      </c>
      <c r="R9" s="4" t="s">
        <v>96</v>
      </c>
      <c r="S9" s="4" t="s">
        <v>97</v>
      </c>
      <c r="T9" s="4" t="s">
        <v>98</v>
      </c>
      <c r="U9" s="4" t="s">
        <v>99</v>
      </c>
      <c r="V9" s="4" t="s">
        <v>100</v>
      </c>
      <c r="W9" s="4" t="s">
        <v>101</v>
      </c>
      <c r="X9" s="4" t="s">
        <v>102</v>
      </c>
      <c r="Y9" s="5"/>
      <c r="Z9" s="5"/>
    </row>
    <row r="10" spans="1:26" s="23" customFormat="1" ht="48.6" customHeight="1" x14ac:dyDescent="0.25">
      <c r="A10" s="18" t="s">
        <v>112</v>
      </c>
      <c r="B10" s="16" t="s">
        <v>107</v>
      </c>
      <c r="C10" s="17" t="s">
        <v>108</v>
      </c>
      <c r="D10" s="17" t="s">
        <v>108</v>
      </c>
      <c r="E10" s="17" t="s">
        <v>108</v>
      </c>
      <c r="F10" s="16" t="s">
        <v>110</v>
      </c>
      <c r="G10" s="19"/>
      <c r="H10" s="20"/>
      <c r="I10" s="20"/>
      <c r="J10" s="17" t="s">
        <v>108</v>
      </c>
      <c r="K10" s="21" t="s">
        <v>109</v>
      </c>
      <c r="L10" s="17" t="s">
        <v>108</v>
      </c>
      <c r="M10" s="21" t="s">
        <v>109</v>
      </c>
      <c r="N10" s="17" t="s">
        <v>108</v>
      </c>
      <c r="O10" s="21" t="s">
        <v>109</v>
      </c>
      <c r="P10" s="17" t="s">
        <v>108</v>
      </c>
      <c r="Q10" s="21" t="s">
        <v>109</v>
      </c>
      <c r="R10" s="17" t="s">
        <v>108</v>
      </c>
      <c r="S10" s="21" t="s">
        <v>109</v>
      </c>
      <c r="T10" s="20"/>
      <c r="U10" s="20"/>
      <c r="V10" s="20" t="s">
        <v>111</v>
      </c>
      <c r="W10" s="20"/>
      <c r="X10" s="20"/>
      <c r="Y10" s="22"/>
      <c r="Z10" s="22"/>
    </row>
    <row r="11" spans="1:26" ht="181.5" customHeight="1" x14ac:dyDescent="0.25">
      <c r="A11" s="6">
        <v>1</v>
      </c>
      <c r="B11" s="13" t="s">
        <v>169</v>
      </c>
      <c r="C11" s="14" t="s">
        <v>11</v>
      </c>
      <c r="D11" s="14" t="s">
        <v>29</v>
      </c>
      <c r="E11" s="15" t="s">
        <v>46</v>
      </c>
      <c r="F11" s="13">
        <v>15</v>
      </c>
      <c r="G11" s="7" t="s">
        <v>15</v>
      </c>
      <c r="H11" s="7" t="s">
        <v>138</v>
      </c>
      <c r="I11" s="7" t="s">
        <v>139</v>
      </c>
      <c r="J11" s="8"/>
      <c r="K11" s="7"/>
      <c r="L11" s="8"/>
      <c r="M11" s="7"/>
      <c r="N11" s="8"/>
      <c r="O11" s="7"/>
      <c r="P11" s="8"/>
      <c r="Q11" s="7"/>
      <c r="R11" s="8"/>
      <c r="S11" s="7"/>
      <c r="T11" s="7" t="s">
        <v>140</v>
      </c>
      <c r="U11" s="7" t="s">
        <v>141</v>
      </c>
      <c r="V11" s="8" t="s">
        <v>23</v>
      </c>
      <c r="W11" s="7" t="s">
        <v>142</v>
      </c>
      <c r="X11" s="7" t="s">
        <v>51</v>
      </c>
    </row>
    <row r="12" spans="1:26" ht="288" customHeight="1" x14ac:dyDescent="0.25">
      <c r="A12" s="6">
        <v>2</v>
      </c>
      <c r="B12" s="7" t="s">
        <v>160</v>
      </c>
      <c r="C12" s="8" t="s">
        <v>11</v>
      </c>
      <c r="D12" s="8" t="s">
        <v>29</v>
      </c>
      <c r="E12" s="8" t="s">
        <v>13</v>
      </c>
      <c r="F12" s="7">
        <v>30</v>
      </c>
      <c r="G12" s="7" t="s">
        <v>24</v>
      </c>
      <c r="H12" s="7" t="s">
        <v>143</v>
      </c>
      <c r="I12" s="7" t="s">
        <v>26</v>
      </c>
      <c r="J12" s="8"/>
      <c r="K12" s="7"/>
      <c r="L12" s="8"/>
      <c r="M12" s="7"/>
      <c r="N12" s="8"/>
      <c r="O12" s="7"/>
      <c r="P12" s="8"/>
      <c r="Q12" s="7"/>
      <c r="R12" s="8"/>
      <c r="S12" s="7"/>
      <c r="T12" s="7" t="s">
        <v>144</v>
      </c>
      <c r="U12" s="7" t="s">
        <v>145</v>
      </c>
      <c r="V12" s="8" t="s">
        <v>31</v>
      </c>
      <c r="W12" s="7" t="s">
        <v>146</v>
      </c>
      <c r="X12" s="7" t="s">
        <v>51</v>
      </c>
    </row>
    <row r="13" spans="1:26" ht="87.75" customHeight="1" x14ac:dyDescent="0.25">
      <c r="A13" s="6">
        <v>3</v>
      </c>
      <c r="B13" s="7" t="s">
        <v>147</v>
      </c>
      <c r="C13" s="8" t="s">
        <v>11</v>
      </c>
      <c r="D13" s="8" t="s">
        <v>38</v>
      </c>
      <c r="E13" s="8" t="s">
        <v>13</v>
      </c>
      <c r="F13" s="7">
        <v>10</v>
      </c>
      <c r="G13" s="7" t="s">
        <v>24</v>
      </c>
      <c r="H13" s="7" t="s">
        <v>152</v>
      </c>
      <c r="I13" s="7"/>
      <c r="J13" s="8" t="s">
        <v>118</v>
      </c>
      <c r="K13" s="7" t="s">
        <v>148</v>
      </c>
      <c r="L13" s="8"/>
      <c r="M13" s="7"/>
      <c r="N13" s="8"/>
      <c r="O13" s="7"/>
      <c r="P13" s="8"/>
      <c r="Q13" s="7"/>
      <c r="R13" s="8"/>
      <c r="S13" s="7"/>
      <c r="T13" s="7" t="s">
        <v>149</v>
      </c>
      <c r="U13" s="7"/>
      <c r="V13" s="8" t="s">
        <v>31</v>
      </c>
      <c r="W13" s="7" t="s">
        <v>150</v>
      </c>
      <c r="X13" s="7" t="s">
        <v>51</v>
      </c>
    </row>
    <row r="14" spans="1:26" ht="209.25" customHeight="1" x14ac:dyDescent="0.25">
      <c r="A14" s="6">
        <v>4</v>
      </c>
      <c r="B14" s="7" t="s">
        <v>156</v>
      </c>
      <c r="C14" s="8" t="s">
        <v>11</v>
      </c>
      <c r="D14" s="8" t="s">
        <v>29</v>
      </c>
      <c r="E14" s="8" t="s">
        <v>39</v>
      </c>
      <c r="F14" s="7">
        <v>60</v>
      </c>
      <c r="G14" s="7" t="s">
        <v>24</v>
      </c>
      <c r="H14" s="7" t="s">
        <v>151</v>
      </c>
      <c r="I14" s="7" t="s">
        <v>17</v>
      </c>
      <c r="J14" s="8"/>
      <c r="K14" s="7"/>
      <c r="L14" s="8"/>
      <c r="M14" s="7"/>
      <c r="N14" s="8"/>
      <c r="O14" s="7"/>
      <c r="P14" s="8"/>
      <c r="Q14" s="7"/>
      <c r="R14" s="8"/>
      <c r="S14" s="7"/>
      <c r="T14" s="7" t="s">
        <v>155</v>
      </c>
      <c r="U14" s="7" t="s">
        <v>153</v>
      </c>
      <c r="V14" s="8" t="s">
        <v>23</v>
      </c>
      <c r="W14" s="7" t="s">
        <v>154</v>
      </c>
      <c r="X14" s="7" t="s">
        <v>51</v>
      </c>
    </row>
    <row r="15" spans="1:26" ht="185.25" customHeight="1" x14ac:dyDescent="0.25">
      <c r="A15" s="6">
        <v>5</v>
      </c>
      <c r="B15" s="7" t="s">
        <v>157</v>
      </c>
      <c r="C15" s="8" t="s">
        <v>11</v>
      </c>
      <c r="D15" s="8" t="s">
        <v>29</v>
      </c>
      <c r="E15" s="8" t="s">
        <v>30</v>
      </c>
      <c r="F15" s="7">
        <v>120</v>
      </c>
      <c r="G15" s="7" t="s">
        <v>24</v>
      </c>
      <c r="H15" s="7" t="s">
        <v>158</v>
      </c>
      <c r="I15" s="7" t="s">
        <v>17</v>
      </c>
      <c r="J15" s="8"/>
      <c r="K15" s="7"/>
      <c r="L15" s="8"/>
      <c r="M15" s="7"/>
      <c r="N15" s="8"/>
      <c r="O15" s="7"/>
      <c r="P15" s="8"/>
      <c r="Q15" s="7"/>
      <c r="R15" s="8"/>
      <c r="S15" s="7"/>
      <c r="T15" s="7" t="s">
        <v>161</v>
      </c>
      <c r="U15" s="7" t="s">
        <v>162</v>
      </c>
      <c r="V15" s="8" t="s">
        <v>23</v>
      </c>
      <c r="W15" s="7" t="s">
        <v>159</v>
      </c>
      <c r="X15" s="7" t="s">
        <v>51</v>
      </c>
    </row>
    <row r="16" spans="1:26" ht="123.75" customHeight="1" x14ac:dyDescent="0.25">
      <c r="A16" s="6">
        <v>6</v>
      </c>
      <c r="B16" s="7" t="s">
        <v>163</v>
      </c>
      <c r="C16" s="8" t="s">
        <v>11</v>
      </c>
      <c r="D16" s="8" t="s">
        <v>29</v>
      </c>
      <c r="E16" s="8" t="s">
        <v>13</v>
      </c>
      <c r="F16" s="7">
        <v>30</v>
      </c>
      <c r="G16" s="7" t="s">
        <v>164</v>
      </c>
      <c r="H16" s="7" t="s">
        <v>165</v>
      </c>
      <c r="I16" s="7" t="s">
        <v>26</v>
      </c>
      <c r="J16" s="8" t="s">
        <v>71</v>
      </c>
      <c r="K16" s="7" t="s">
        <v>166</v>
      </c>
      <c r="L16" s="8"/>
      <c r="M16" s="7"/>
      <c r="N16" s="8"/>
      <c r="O16" s="7"/>
      <c r="P16" s="8"/>
      <c r="Q16" s="7"/>
      <c r="R16" s="8"/>
      <c r="S16" s="7"/>
      <c r="T16" s="7" t="s">
        <v>167</v>
      </c>
      <c r="U16" s="7"/>
      <c r="V16" s="8" t="s">
        <v>31</v>
      </c>
      <c r="W16" s="7" t="s">
        <v>168</v>
      </c>
      <c r="X16" s="7" t="s">
        <v>51</v>
      </c>
    </row>
    <row r="17" spans="1:24" ht="39.75" customHeight="1" x14ac:dyDescent="0.25">
      <c r="A17" s="6">
        <v>7</v>
      </c>
      <c r="B17" s="7"/>
      <c r="C17" s="8"/>
      <c r="D17" s="8"/>
      <c r="E17" s="8"/>
      <c r="F17" s="7"/>
      <c r="G17" s="7"/>
      <c r="H17" s="7"/>
      <c r="I17" s="7"/>
      <c r="J17" s="8"/>
      <c r="K17" s="7"/>
      <c r="L17" s="8"/>
      <c r="M17" s="7"/>
      <c r="N17" s="8"/>
      <c r="O17" s="7"/>
      <c r="P17" s="8"/>
      <c r="Q17" s="7"/>
      <c r="R17" s="8"/>
      <c r="S17" s="7"/>
      <c r="T17" s="7"/>
      <c r="U17" s="7"/>
      <c r="V17" s="8"/>
      <c r="W17" s="7"/>
      <c r="X17" s="7"/>
    </row>
    <row r="18" spans="1:24" ht="39.75" customHeight="1" x14ac:dyDescent="0.25">
      <c r="A18" s="6">
        <v>8</v>
      </c>
      <c r="B18" s="7"/>
      <c r="C18" s="8"/>
      <c r="D18" s="8"/>
      <c r="E18" s="8"/>
      <c r="F18" s="7"/>
      <c r="G18" s="7"/>
      <c r="H18" s="7"/>
      <c r="I18" s="7"/>
      <c r="J18" s="8"/>
      <c r="K18" s="7"/>
      <c r="L18" s="8"/>
      <c r="M18" s="7"/>
      <c r="N18" s="8"/>
      <c r="O18" s="7"/>
      <c r="P18" s="8"/>
      <c r="Q18" s="7"/>
      <c r="R18" s="8"/>
      <c r="S18" s="7"/>
      <c r="T18" s="7"/>
      <c r="U18" s="7"/>
      <c r="V18" s="8"/>
      <c r="W18" s="7"/>
      <c r="X18" s="7"/>
    </row>
    <row r="19" spans="1:24" ht="39.75" customHeight="1" x14ac:dyDescent="0.25">
      <c r="A19" s="6">
        <v>9</v>
      </c>
      <c r="B19" s="7"/>
      <c r="C19" s="8"/>
      <c r="D19" s="8"/>
      <c r="E19" s="8"/>
      <c r="F19" s="7"/>
      <c r="G19" s="7"/>
      <c r="H19" s="7"/>
      <c r="I19" s="7"/>
      <c r="J19" s="8"/>
      <c r="K19" s="7"/>
      <c r="L19" s="8"/>
      <c r="M19" s="7"/>
      <c r="N19" s="8"/>
      <c r="O19" s="7"/>
      <c r="P19" s="8"/>
      <c r="Q19" s="7"/>
      <c r="R19" s="8"/>
      <c r="S19" s="7"/>
      <c r="T19" s="7"/>
      <c r="U19" s="7"/>
      <c r="V19" s="8"/>
      <c r="W19" s="7"/>
      <c r="X19" s="7"/>
    </row>
    <row r="20" spans="1:24" ht="39.75" customHeight="1" x14ac:dyDescent="0.25">
      <c r="A20" s="6">
        <v>10</v>
      </c>
      <c r="B20" s="7"/>
      <c r="C20" s="8"/>
      <c r="D20" s="8"/>
      <c r="E20" s="8"/>
      <c r="F20" s="7"/>
      <c r="G20" s="7"/>
      <c r="H20" s="7"/>
      <c r="I20" s="7"/>
      <c r="J20" s="8"/>
      <c r="K20" s="7"/>
      <c r="L20" s="8"/>
      <c r="M20" s="7"/>
      <c r="N20" s="8"/>
      <c r="O20" s="7"/>
      <c r="P20" s="8"/>
      <c r="Q20" s="7"/>
      <c r="R20" s="8"/>
      <c r="S20" s="7"/>
      <c r="T20" s="7"/>
      <c r="U20" s="7"/>
      <c r="V20" s="8"/>
      <c r="W20" s="7"/>
      <c r="X20" s="7"/>
    </row>
    <row r="21" spans="1:24" ht="39.75" customHeight="1" x14ac:dyDescent="0.25">
      <c r="A21" s="6">
        <v>11</v>
      </c>
      <c r="B21" s="7"/>
      <c r="C21" s="8"/>
      <c r="D21" s="8"/>
      <c r="E21" s="8"/>
      <c r="F21" s="7"/>
      <c r="G21" s="7"/>
      <c r="H21" s="7"/>
      <c r="I21" s="7"/>
      <c r="J21" s="8"/>
      <c r="K21" s="7"/>
      <c r="L21" s="8"/>
      <c r="M21" s="7"/>
      <c r="N21" s="8"/>
      <c r="O21" s="7"/>
      <c r="P21" s="8"/>
      <c r="Q21" s="7"/>
      <c r="R21" s="8"/>
      <c r="S21" s="7"/>
      <c r="T21" s="7"/>
      <c r="U21" s="7"/>
      <c r="V21" s="8"/>
      <c r="W21" s="7"/>
      <c r="X21" s="7"/>
    </row>
    <row r="22" spans="1:24" ht="39.75" customHeight="1" x14ac:dyDescent="0.25">
      <c r="A22" s="6">
        <v>12</v>
      </c>
      <c r="B22" s="7"/>
      <c r="C22" s="8"/>
      <c r="D22" s="8"/>
      <c r="E22" s="8"/>
      <c r="F22" s="7"/>
      <c r="G22" s="7"/>
      <c r="H22" s="7"/>
      <c r="I22" s="7"/>
      <c r="J22" s="8"/>
      <c r="K22" s="7"/>
      <c r="L22" s="8"/>
      <c r="M22" s="7"/>
      <c r="N22" s="8"/>
      <c r="O22" s="7"/>
      <c r="P22" s="8"/>
      <c r="Q22" s="7"/>
      <c r="R22" s="8"/>
      <c r="S22" s="7"/>
      <c r="T22" s="7"/>
      <c r="U22" s="7"/>
      <c r="V22" s="8"/>
      <c r="W22" s="7"/>
      <c r="X22" s="7"/>
    </row>
    <row r="23" spans="1:24" ht="39.75" customHeight="1" x14ac:dyDescent="0.25">
      <c r="A23" s="6">
        <v>13</v>
      </c>
      <c r="B23" s="7"/>
      <c r="C23" s="8"/>
      <c r="D23" s="8"/>
      <c r="E23" s="8"/>
      <c r="F23" s="7"/>
      <c r="G23" s="7"/>
      <c r="H23" s="7"/>
      <c r="I23" s="7"/>
      <c r="J23" s="8"/>
      <c r="K23" s="7"/>
      <c r="L23" s="8"/>
      <c r="M23" s="7"/>
      <c r="N23" s="8"/>
      <c r="O23" s="7"/>
      <c r="P23" s="8"/>
      <c r="Q23" s="7"/>
      <c r="R23" s="8"/>
      <c r="S23" s="7"/>
      <c r="T23" s="7"/>
      <c r="U23" s="7"/>
      <c r="V23" s="8"/>
      <c r="W23" s="7"/>
      <c r="X23" s="7"/>
    </row>
    <row r="24" spans="1:24" ht="39.75" customHeight="1" x14ac:dyDescent="0.25">
      <c r="A24" s="6">
        <v>14</v>
      </c>
      <c r="B24" s="7"/>
      <c r="C24" s="8"/>
      <c r="D24" s="8"/>
      <c r="E24" s="8"/>
      <c r="F24" s="7"/>
      <c r="G24" s="7"/>
      <c r="H24" s="7"/>
      <c r="I24" s="7"/>
      <c r="J24" s="8"/>
      <c r="K24" s="7"/>
      <c r="L24" s="8"/>
      <c r="M24" s="7"/>
      <c r="N24" s="8"/>
      <c r="O24" s="7"/>
      <c r="P24" s="8"/>
      <c r="Q24" s="7"/>
      <c r="R24" s="8"/>
      <c r="S24" s="7"/>
      <c r="T24" s="7"/>
      <c r="U24" s="7"/>
      <c r="V24" s="8"/>
      <c r="W24" s="7"/>
      <c r="X24" s="7"/>
    </row>
    <row r="25" spans="1:24" ht="39.75" customHeight="1" x14ac:dyDescent="0.25">
      <c r="A25" s="6">
        <v>15</v>
      </c>
      <c r="B25" s="7"/>
      <c r="C25" s="8"/>
      <c r="D25" s="8"/>
      <c r="E25" s="8"/>
      <c r="F25" s="7"/>
      <c r="G25" s="7"/>
      <c r="H25" s="7"/>
      <c r="I25" s="7"/>
      <c r="J25" s="8"/>
      <c r="K25" s="7"/>
      <c r="L25" s="8"/>
      <c r="M25" s="7"/>
      <c r="N25" s="8"/>
      <c r="O25" s="7"/>
      <c r="P25" s="8"/>
      <c r="Q25" s="7"/>
      <c r="R25" s="8"/>
      <c r="S25" s="7"/>
      <c r="T25" s="7"/>
      <c r="U25" s="7"/>
      <c r="V25" s="8"/>
      <c r="W25" s="7"/>
      <c r="X25" s="7"/>
    </row>
    <row r="26" spans="1:24" ht="15.75" customHeight="1" x14ac:dyDescent="0.25"/>
    <row r="27" spans="1:24" ht="15.75" customHeight="1" x14ac:dyDescent="0.25">
      <c r="A27" s="9" t="s">
        <v>103</v>
      </c>
    </row>
    <row r="28" spans="1:24" ht="15.75" customHeight="1" x14ac:dyDescent="0.25">
      <c r="A28" s="10" t="s">
        <v>104</v>
      </c>
      <c r="B28" s="29" t="e">
        <f ca="1">Выпадающий список(ТОЛЬКО из списка)</f>
        <v>#NAME?</v>
      </c>
      <c r="C28" s="30"/>
      <c r="D28" s="30"/>
      <c r="E28" s="30"/>
    </row>
    <row r="29" spans="1:24" ht="15.75" customHeight="1" x14ac:dyDescent="0.25">
      <c r="A29" s="11" t="s">
        <v>105</v>
      </c>
      <c r="B29" s="29" t="e">
        <f>Можно выбрать из списка ИЛИ написать своё</f>
        <v>#NAME?</v>
      </c>
      <c r="C29" s="30"/>
      <c r="D29" s="30"/>
      <c r="E29" s="30"/>
    </row>
    <row r="30" spans="1:24" ht="15.75" customHeight="1" x14ac:dyDescent="0.25"/>
    <row r="31" spans="1:24" ht="15.75" customHeight="1" x14ac:dyDescent="0.25"/>
    <row r="32" spans="1:24"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sheetData>
  <mergeCells count="8">
    <mergeCell ref="B28:E28"/>
    <mergeCell ref="B29:E29"/>
    <mergeCell ref="A1:X1"/>
    <mergeCell ref="C3:X3"/>
    <mergeCell ref="C4:X4"/>
    <mergeCell ref="C5:X5"/>
    <mergeCell ref="C6:X6"/>
    <mergeCell ref="A8:X8"/>
  </mergeCells>
  <pageMargins left="0.75" right="0.75" top="1" bottom="1" header="0" footer="0"/>
  <pageSetup orientation="landscape" r:id="rId1"/>
  <extLst>
    <ext xmlns:x14="http://schemas.microsoft.com/office/spreadsheetml/2009/9/main" uri="{CCE6A557-97BC-4b89-ADB6-D9C93CAAB3DF}">
      <x14:dataValidations xmlns:xm="http://schemas.microsoft.com/office/excel/2006/main" count="11">
        <x14:dataValidation type="list" allowBlank="1" xr:uid="{00000000-0002-0000-0100-000000000000}">
          <x14:formula1>
            <xm:f>Справочники!$E$2:$E$6</xm:f>
          </x14:formula1>
          <xm:sqref>E11:E25</xm:sqref>
        </x14:dataValidation>
        <x14:dataValidation type="list" allowBlank="1" xr:uid="{00000000-0002-0000-0100-000001000000}">
          <x14:formula1>
            <xm:f>Справочники!$G$2:$G$6</xm:f>
          </x14:formula1>
          <xm:sqref>G11:G25</xm:sqref>
        </x14:dataValidation>
        <x14:dataValidation type="list" allowBlank="1" xr:uid="{00000000-0002-0000-0100-000002000000}">
          <x14:formula1>
            <xm:f>Справочники!$F$2:$F$4</xm:f>
          </x14:formula1>
          <xm:sqref>V11:V25</xm:sqref>
        </x14:dataValidation>
        <x14:dataValidation type="list" allowBlank="1" xr:uid="{00000000-0002-0000-0100-000003000000}">
          <x14:formula1>
            <xm:f>Справочники!$I$2:$I$7</xm:f>
          </x14:formula1>
          <xm:sqref>I11:I25</xm:sqref>
        </x14:dataValidation>
        <x14:dataValidation type="list" allowBlank="1" xr:uid="{00000000-0002-0000-0100-000005000000}">
          <x14:formula1>
            <xm:f>Справочники!$D$2:$D$5</xm:f>
          </x14:formula1>
          <xm:sqref>D11:D25</xm:sqref>
        </x14:dataValidation>
        <x14:dataValidation type="list" allowBlank="1" xr:uid="{00000000-0002-0000-0100-000006000000}">
          <x14:formula1>
            <xm:f>Справочники!$C$2:$C$3</xm:f>
          </x14:formula1>
          <xm:sqref>C11:C25</xm:sqref>
        </x14:dataValidation>
        <x14:dataValidation type="list" allowBlank="1" xr:uid="{00000000-0002-0000-0100-000008000000}">
          <x14:formula1>
            <xm:f>Справочники!$H$2:$H$7</xm:f>
          </x14:formula1>
          <xm:sqref>H11:H25</xm:sqref>
        </x14:dataValidation>
        <x14:dataValidation type="list" allowBlank="1" xr:uid="{00000000-0002-0000-0100-000009000000}">
          <x14:formula1>
            <xm:f>Справочники!$J$2:$J$8</xm:f>
          </x14:formula1>
          <xm:sqref>W11:W25</xm:sqref>
        </x14:dataValidation>
        <x14:dataValidation type="list" allowBlank="1" xr:uid="{00000000-0002-0000-0100-00000A000000}">
          <x14:formula1>
            <xm:f>Справочники!$K$2:$K$7</xm:f>
          </x14:formula1>
          <xm:sqref>X11:X25</xm:sqref>
        </x14:dataValidation>
        <x14:dataValidation type="list" allowBlank="1" xr:uid="{00000000-0002-0000-0100-000004000000}">
          <x14:formula1>
            <xm:f>Справочники!$A$2:$A$13</xm:f>
          </x14:formula1>
          <xm:sqref>C4:X4</xm:sqref>
        </x14:dataValidation>
        <x14:dataValidation type="list" allowBlank="1" xr:uid="{00000000-0002-0000-0100-000007000000}">
          <x14:formula1>
            <xm:f>Справочники!$B$2:$B$44</xm:f>
          </x14:formula1>
          <xm:sqref>C5 R11:R25 P11:P25 N11:N25 J11:J25 L11:L25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Справочники</vt:lpstr>
      <vt:lpstr>ШАБЛОН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Ларин</cp:lastModifiedBy>
  <dcterms:created xsi:type="dcterms:W3CDTF">2025-12-06T19:31:51Z</dcterms:created>
  <dcterms:modified xsi:type="dcterms:W3CDTF">2026-01-28T08:55:43Z</dcterms:modified>
</cp:coreProperties>
</file>