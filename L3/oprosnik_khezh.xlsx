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4328BD39-091C-49E3-AB46-245B03737FC7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6" i="2" l="1"/>
  <c r="B25" i="2"/>
</calcChain>
</file>

<file path=xl/sharedStrings.xml><?xml version="1.0" encoding="utf-8"?>
<sst xmlns="http://schemas.openxmlformats.org/spreadsheetml/2006/main" count="324" uniqueCount="211">
  <si>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</si>
  <si>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</si>
  <si>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</si>
  <si>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</si>
  <si>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</si>
  <si>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</si>
  <si>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</si>
  <si>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</si>
  <si>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</si>
  <si>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</si>
  <si>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</si>
  <si>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</si>
  <si>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</si>
  <si>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</si>
  <si>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</si>
  <si>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</si>
  <si>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</si>
  <si>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</si>
  <si>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</si>
  <si>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</si>
  <si>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</si>
  <si>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</si>
  <si>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</si>
  <si>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</si>
  <si>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</si>
  <si>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</si>
  <si>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</si>
  <si>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</si>
  <si>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</si>
  <si>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</si>
  <si>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</si>
  <si>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</si>
  <si>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</si>
  <si>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</si>
  <si>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</si>
  <si>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</si>
  <si>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</si>
  <si>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</si>
  <si>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</si>
  <si>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</si>
  <si>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</si>
  <si>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</si>
  <si>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</si>
  <si>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</si>
  <si>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</si>
  <si>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</si>
  <si>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</si>
  <si>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</si>
  <si>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</si>
  <si>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</si>
  <si>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</si>
  <si>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</si>
  <si>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</si>
  <si>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</si>
  <si>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</si>
  <si>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</si>
  <si>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</si>
  <si>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</si>
  <si>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</si>
  <si>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</si>
  <si>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</si>
  <si>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</si>
  <si>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</si>
  <si>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</si>
  <si>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</si>
  <si>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</si>
  <si>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</si>
  <si>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</si>
  <si>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</si>
  <si>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</si>
  <si>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</si>
  <si>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</si>
  <si>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</si>
  <si>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</si>
  <si>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</si>
  <si>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</si>
  <si>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</si>
  <si>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</si>
  <si>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</si>
  <si>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</si>
  <si>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</si>
  <si>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</si>
  <si>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</si>
  <si>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</si>
  <si>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</si>
  <si>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</si>
  <si>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</si>
  <si>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</si>
  <si>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</si>
  <si>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</si>
  <si>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</si>
  <si>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</si>
  <si>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</si>
  <si>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</si>
  <si>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</si>
  <si>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</si>
  <si>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</si>
  <si>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</si>
  <si>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</si>
  <si>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</si>
  <si>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</si>
  <si>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</si>
  <si>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</si>
  <si>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</si>
  <si>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</si>
  <si>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</si>
  <si>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</si>
  <si>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</si>
  <si>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</si>
  <si>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</si>
  <si>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</si>
  <si>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</si>
  <si>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</si>
  <si>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</si>
  <si>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</si>
  <si>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</si>
  <si>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</si>
  <si>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</si>
  <si>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</si>
  <si>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</si>
  <si>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</si>
  <si>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</si>
  <si>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</si>
  <si>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</si>
  <si>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</si>
  <si>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</si>
  <si>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</si>
  <si>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</si>
  <si>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</si>
  <si>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</si>
  <si>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</si>
  <si>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 xml:space="preserve">Менеджер клиентской поддержки </t>
  </si>
  <si>
    <t>Обрабатываю почту sales@spacetravel.ru</t>
  </si>
  <si>
    <t>Принимаю договоры</t>
  </si>
  <si>
    <t xml:space="preserve">Проверяю гарантийные письма </t>
  </si>
  <si>
    <t>Не успеваете, большой поток звонков</t>
  </si>
  <si>
    <t>Регистрирую новые агентства</t>
  </si>
  <si>
    <t>Передача звонков с вопросами по визе</t>
  </si>
  <si>
    <t>Принимаю входящие звонки</t>
  </si>
  <si>
    <t>передача звонков с вопросами по забронированным заявкам</t>
  </si>
  <si>
    <t>передача проблемных запросов по заявкам с туристами на отдыхе</t>
  </si>
  <si>
    <t>Profi.Travel</t>
  </si>
  <si>
    <t>платформа Profi.travel</t>
  </si>
  <si>
    <t>САМО- Тур</t>
  </si>
  <si>
    <t>Телефония</t>
  </si>
  <si>
    <t>Передача информации через мессенджер</t>
  </si>
  <si>
    <t>Сокращение времени выполнения; Повышение качества обслуживания; снижение стресса</t>
  </si>
  <si>
    <t>Потеря клиентов и заявок, в связи с высокой загрузкой менеджеров и не возможностью оперативно отвечать на звонки. Репутационные  риски</t>
  </si>
  <si>
    <t>Обработка голосовой информации. Распределение звонков по отделам, консультирование по вопросам находящимся в моей компетенции.</t>
  </si>
  <si>
    <t>Обработка текстов. Рапсределение писем по ответсвенным сотрудникам и отделам, самостоятельно отвечаю на вопросы находящиеся в моей компетенции.</t>
  </si>
  <si>
    <t>передача запросов  по забронированным заявкам</t>
  </si>
  <si>
    <t>Вопросы по визам и правилам въезда</t>
  </si>
  <si>
    <t>электронная почта, Bitrix</t>
  </si>
  <si>
    <t>Снижение качества; Потеря контроля; потеря клиентов из-за долгого ожидания ответа на запросы</t>
  </si>
  <si>
    <t>Работа с претензиями, почта quality@spacetravel.ru</t>
  </si>
  <si>
    <t>Проверяю заявления на возврат/перенос</t>
  </si>
  <si>
    <t>САМО-Тур, папка СКАНЫ с сохраннеными договорами, реестр договоров</t>
  </si>
  <si>
    <t>сайт ФНС</t>
  </si>
  <si>
    <t>проверка наличия договора по запросу коллег, продление договора в системе для доступа к оплате (при наличии скана/оригинала)</t>
  </si>
  <si>
    <t xml:space="preserve">Ручной ввод данных; Обработка текстов; Обработка изображений;  Проверка корректности присланного договора, отмечаю в САМО наличие копии либо оригинала, сохраняю в папку со сканами, заполняю информацию в реестре договоров . Отписываюсь агенту о получении, либо о необходимых корректировках </t>
  </si>
  <si>
    <t>согласование возможности открыть доступ к опате без договора на 1 день</t>
  </si>
  <si>
    <t>Ручной ввод данных; Заполняю карточку в САМО,вношу карточку в БИТРИКС, формирую договор, направляю приветственное письмо агенту, вношу договоры в реестр договоров</t>
  </si>
  <si>
    <t>Пересылаю письмо с новой регистрацией в работу менеджеру</t>
  </si>
  <si>
    <t>САМО-Тур, БИТРИКС, почта</t>
  </si>
  <si>
    <t>Сокращение времени выполнения; Контроль ответсвенным менеджеров за регистрациями своего региона, чтобы избежать пропушщенных регистраций</t>
  </si>
  <si>
    <t>Потеря контроля; Долгое ожидание агентом доступа в систему и возможности бронирования</t>
  </si>
  <si>
    <t>Обработка текстов; Пересылаю письма с претензией менеджеру по заявке и его руководителю, отписываюсь агенту о получении письма и передаче его в работу</t>
  </si>
  <si>
    <t>Пересылаю письма с претензией менеджеру по заявке и его руководителю, отписываюсь агенту о получении письма и передаче его в работу</t>
  </si>
  <si>
    <t>САМО-Тур, почта</t>
  </si>
  <si>
    <t>Не дают информацию вовремя; нет четкого регламента работы, долгое ожидание ответа</t>
  </si>
  <si>
    <t>Обработка текстов; Проверяю правильность заполнения ГП в соответсвии с шаблонами компании, отписываюсь агенту если необхожимо что-то скорректировать, если все правильно заполнено, отписываюсь коллегам о принятии ГП</t>
  </si>
  <si>
    <t xml:space="preserve">Согласование с куратором агентства ГП при возникновении сомнений </t>
  </si>
  <si>
    <t>сообщаю о решении принято или отклонено ГП</t>
  </si>
  <si>
    <t xml:space="preserve">Сокращение времени выполнения; </t>
  </si>
  <si>
    <t>Потеря контроля; Финансовая ответственность</t>
  </si>
  <si>
    <t>Финансовая ответственность</t>
  </si>
  <si>
    <t>Обработка текстов; обработка сообщений от агентов и частных лиц, которые поступают через мессенджеры</t>
  </si>
  <si>
    <t>передаю сообщение в работу, если это касается заявки или запроса на расчет</t>
  </si>
  <si>
    <t>передаю сообщение в работу, если это касается заявки</t>
  </si>
  <si>
    <t>Обрабатываю сообщения из чатов, мессенджеров, CRM запросы с сайта</t>
  </si>
  <si>
    <t>Обработка текстов; Первичная проверкая заявлений на возврат /перенос, вношу в инвойс-трекер, передаю в бухгалтерию, отписываюсь агенту о получении заявления</t>
  </si>
  <si>
    <t>уточнение информации по спорным вопросам</t>
  </si>
  <si>
    <t>САМО-Тур, почта, инвойс-трекер, телефон</t>
  </si>
  <si>
    <t>Распределяю сделки/ запросы на расчет</t>
  </si>
  <si>
    <t>Ручной ввод данных; распределение сделок и запросов по менеджерам</t>
  </si>
  <si>
    <t>Потеря клиентов из-за долгого ожидания ответа на запросы</t>
  </si>
  <si>
    <t xml:space="preserve">Отдел продаж </t>
  </si>
  <si>
    <t>передаю сделки на расчет</t>
  </si>
  <si>
    <t>Сокращение времени выполнения посредством прямого взаимодействия агентов с бухгалтерией, исключая посредников</t>
  </si>
  <si>
    <t>Хеж</t>
  </si>
  <si>
    <t>Отдел продаж; Региональные офисы; ВИП отдел
передача звонков для консультации по направлениям и бронированиям на сайте, вопросы по заявкам</t>
  </si>
  <si>
    <t>нет отделов</t>
  </si>
  <si>
    <t>Отдел продаж; Региональные офисы; ВИП отдел
передача писменных запросов по турам, направлениям или забронированным заявкам</t>
  </si>
  <si>
    <t xml:space="preserve">Отдел бронирования </t>
  </si>
  <si>
    <t>Отдел продаж; Региональные офисы; ВИП отдел
уточнение информации по спорным вопросам</t>
  </si>
  <si>
    <t>Отдел продаж; Региональные офисы; ВИП отдел
сообщаю о решении принято или отклонено ГП</t>
  </si>
  <si>
    <t>Отдел продаж; Региональные офисы;
передаю сообщение в работу, если это касается заявки или запроса на расчет</t>
  </si>
  <si>
    <t>Региональные офисы
проверка наличия договора по запросу коллег, продление договора в системе для доступа к оплате (при наличии скана/оригинала)</t>
  </si>
  <si>
    <t>Региональные офисы
Пересылаю письма с претензией менеджеру по заявке и его руководителю, отписываюсь агенту о получении письма и передаче его в работу</t>
  </si>
  <si>
    <t>Региональные офисы
передаю сделки на расчет</t>
  </si>
  <si>
    <t>Отдел MICE; Транспортный  отдел
передача звонков для консультации по MICE и группам, запросы по авиаперелетам</t>
  </si>
  <si>
    <t>Отдел MICE; Транспортный  отдел
передача запросов по MICE и размещению групп, запросы по авиаперелетам</t>
  </si>
  <si>
    <t>Департамент HR</t>
  </si>
  <si>
    <t>Департамент финансов</t>
  </si>
  <si>
    <t>Группа по привлечению агенств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</si>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</sst>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scheme val="minor"/>
    </font>
    <font>
      <sz val="11"/>
      <color theme="1"/>
      <name val="Calibri"/>
    </font>
    <font>
      <b/>
      <sz val="14"/>
      <color rgb="FFFFFFFF"/>
      <name val="Calibri"/>
      <scheme val="minor"/>
    </font>
    <font>
      <sz val="11"/>
      <name val="Calibri"/>
    </font>
    <font>
      <sz val="11"/>
      <color theme="1"/>
      <name val="Calibri"/>
      <scheme val="minor"/>
    </font>
    <font>
      <b/>
      <sz val="12"/>
      <color theme="1"/>
      <name val="Calibri"/>
      <scheme val="minor"/>
    </font>
    <font>
      <b/>
      <sz val="14"/>
      <color rgb="FF000000"/>
      <name val="Calibri"/>
      <scheme val="minor"/>
    </font>
    <font>
      <sz val="14"/>
      <color rgb="FF000000"/>
      <name val="Calibri"/>
      <scheme val="minor"/>
    </font>
    <font>
      <b/>
      <sz val="11"/>
      <color theme="1"/>
      <name val="Calibri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name val="Calibri"/>
      <family val="2"/>
      <charset val="204"/>
    </font>
    <font>
      <sz val="11"/>
      <name val="Calibri"/>
      <family val="2"/>
      <charset val="204"/>
      <scheme val="minor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3" fillId="3" borderId="5" xfId="0" applyFont="1" applyFill="1" applyBorder="1" applyAlignment="1">
      <alignment vertical="top" wrapText="1"/>
    </xf>
    <xf numFmtId="0" fontId="19" fillId="0" borderId="5" xfId="0" applyFont="1" applyBorder="1" applyAlignment="1">
      <alignment vertical="top" wrapText="1"/>
    </xf>
    <xf numFmtId="0" fontId="19" fillId="3" borderId="10" xfId="0" applyFont="1" applyFill="1" applyBorder="1" applyAlignment="1">
      <alignment vertical="top" wrapText="1"/>
    </xf>
    <xf numFmtId="0" fontId="19" fillId="4" borderId="10" xfId="0" applyFont="1" applyFill="1" applyBorder="1" applyAlignment="1">
      <alignment vertical="top" wrapText="1"/>
    </xf>
    <xf numFmtId="0" fontId="19" fillId="3" borderId="5" xfId="0" applyFont="1" applyFill="1" applyBorder="1" applyAlignment="1">
      <alignment vertical="top" wrapText="1"/>
    </xf>
    <xf numFmtId="0" fontId="19" fillId="4" borderId="5" xfId="0" applyFont="1" applyFill="1" applyBorder="1" applyAlignment="1">
      <alignment vertical="top" wrapText="1"/>
    </xf>
    <xf numFmtId="0" fontId="20" fillId="0" borderId="0" xfId="0" applyFont="1"/>
    <xf numFmtId="0" fontId="1" fillId="0" borderId="0" xfId="0" applyFont="1"/>
    <xf numFmtId="0" fontId="21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1" t="s">
        <v>113</v>
      </c>
      <c r="B2" s="21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1" t="s">
        <v>115</v>
      </c>
      <c r="B3" s="21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1" t="s">
        <v>117</v>
      </c>
      <c r="B4" s="21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1" t="s">
        <v>202</v>
      </c>
      <c r="B5" s="21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1" t="s">
        <v>119</v>
      </c>
      <c r="B6" s="21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2" t="s">
        <v>120</v>
      </c>
      <c r="B7" s="21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1" t="s">
        <v>56</v>
      </c>
      <c r="B8" s="21" t="s">
        <v>54</v>
      </c>
      <c r="J8" s="2" t="s">
        <v>47</v>
      </c>
    </row>
    <row r="9" spans="1:11" x14ac:dyDescent="0.25">
      <c r="A9" s="21" t="s">
        <v>203</v>
      </c>
      <c r="B9" s="21" t="s">
        <v>55</v>
      </c>
    </row>
    <row r="10" spans="1:11" x14ac:dyDescent="0.25">
      <c r="A10" s="21" t="s">
        <v>59</v>
      </c>
      <c r="B10" s="21" t="s">
        <v>121</v>
      </c>
    </row>
    <row r="11" spans="1:11" x14ac:dyDescent="0.25">
      <c r="A11" s="21" t="s">
        <v>73</v>
      </c>
      <c r="B11" s="21" t="s">
        <v>57</v>
      </c>
    </row>
    <row r="12" spans="1:11" x14ac:dyDescent="0.25">
      <c r="A12" s="21" t="s">
        <v>122</v>
      </c>
      <c r="B12" s="21" t="s">
        <v>58</v>
      </c>
    </row>
    <row r="13" spans="1:11" x14ac:dyDescent="0.25">
      <c r="B13" s="21" t="s">
        <v>60</v>
      </c>
    </row>
    <row r="14" spans="1:11" x14ac:dyDescent="0.25">
      <c r="A14" s="23"/>
      <c r="B14" s="21" t="s">
        <v>123</v>
      </c>
    </row>
    <row r="15" spans="1:11" x14ac:dyDescent="0.25">
      <c r="A15" s="23"/>
      <c r="B15" s="21" t="s">
        <v>124</v>
      </c>
    </row>
    <row r="16" spans="1:11" x14ac:dyDescent="0.25">
      <c r="A16" s="24"/>
      <c r="B16" s="21" t="s">
        <v>125</v>
      </c>
    </row>
    <row r="17" spans="1:2" x14ac:dyDescent="0.25">
      <c r="A17" s="24"/>
      <c r="B17" s="21" t="s">
        <v>126</v>
      </c>
    </row>
    <row r="18" spans="1:2" x14ac:dyDescent="0.25">
      <c r="A18" s="24"/>
      <c r="B18" s="21" t="s">
        <v>61</v>
      </c>
    </row>
    <row r="19" spans="1:2" x14ac:dyDescent="0.25">
      <c r="A19" s="24"/>
      <c r="B19" s="21" t="s">
        <v>62</v>
      </c>
    </row>
    <row r="20" spans="1:2" x14ac:dyDescent="0.25">
      <c r="A20" s="24"/>
      <c r="B20" s="21" t="s">
        <v>63</v>
      </c>
    </row>
    <row r="21" spans="1:2" ht="15.75" customHeight="1" x14ac:dyDescent="0.25">
      <c r="A21" s="24"/>
      <c r="B21" s="21" t="s">
        <v>64</v>
      </c>
    </row>
    <row r="22" spans="1:2" ht="15.75" customHeight="1" x14ac:dyDescent="0.25">
      <c r="A22" s="24"/>
      <c r="B22" s="21" t="s">
        <v>65</v>
      </c>
    </row>
    <row r="23" spans="1:2" ht="15.75" customHeight="1" x14ac:dyDescent="0.25">
      <c r="A23" s="24"/>
      <c r="B23" s="21" t="s">
        <v>66</v>
      </c>
    </row>
    <row r="24" spans="1:2" ht="15.75" customHeight="1" x14ac:dyDescent="0.25">
      <c r="A24" s="24"/>
      <c r="B24" s="21" t="s">
        <v>67</v>
      </c>
    </row>
    <row r="25" spans="1:2" ht="15.75" customHeight="1" x14ac:dyDescent="0.25">
      <c r="A25" s="24"/>
      <c r="B25" s="21" t="s">
        <v>68</v>
      </c>
    </row>
    <row r="26" spans="1:2" ht="15.75" customHeight="1" x14ac:dyDescent="0.25">
      <c r="A26" s="24"/>
      <c r="B26" s="21" t="s">
        <v>69</v>
      </c>
    </row>
    <row r="27" spans="1:2" ht="15.75" customHeight="1" x14ac:dyDescent="0.25">
      <c r="A27" s="24"/>
      <c r="B27" s="21" t="s">
        <v>70</v>
      </c>
    </row>
    <row r="28" spans="1:2" ht="15.75" customHeight="1" x14ac:dyDescent="0.25">
      <c r="A28" s="24"/>
      <c r="B28" s="21" t="s">
        <v>127</v>
      </c>
    </row>
    <row r="29" spans="1:2" ht="15.75" customHeight="1" x14ac:dyDescent="0.25">
      <c r="A29" s="24"/>
      <c r="B29" s="21" t="s">
        <v>71</v>
      </c>
    </row>
    <row r="30" spans="1:2" ht="15.75" customHeight="1" x14ac:dyDescent="0.25">
      <c r="A30" s="24"/>
      <c r="B30" s="21" t="s">
        <v>128</v>
      </c>
    </row>
    <row r="31" spans="1:2" ht="15.75" customHeight="1" x14ac:dyDescent="0.25">
      <c r="A31" s="24"/>
      <c r="B31" s="21" t="s">
        <v>129</v>
      </c>
    </row>
    <row r="32" spans="1:2" ht="15.75" customHeight="1" x14ac:dyDescent="0.25">
      <c r="A32" s="24"/>
      <c r="B32" s="21" t="s">
        <v>72</v>
      </c>
    </row>
    <row r="33" spans="1:2" ht="15.75" customHeight="1" x14ac:dyDescent="0.25">
      <c r="A33" s="24"/>
      <c r="B33" s="21" t="s">
        <v>204</v>
      </c>
    </row>
    <row r="34" spans="1:2" ht="15.75" customHeight="1" x14ac:dyDescent="0.25">
      <c r="A34" s="23"/>
      <c r="B34" s="21" t="s">
        <v>130</v>
      </c>
    </row>
    <row r="35" spans="1:2" ht="15.75" customHeight="1" x14ac:dyDescent="0.25">
      <c r="B35" s="21" t="s">
        <v>205</v>
      </c>
    </row>
    <row r="36" spans="1:2" ht="15.75" customHeight="1" x14ac:dyDescent="0.25">
      <c r="B36" s="21" t="s">
        <v>206</v>
      </c>
    </row>
    <row r="37" spans="1:2" ht="15.75" customHeight="1" x14ac:dyDescent="0.25">
      <c r="B37" s="32" t="s">
        <v>207</v>
      </c>
    </row>
    <row r="38" spans="1:2" ht="15.75" customHeight="1" x14ac:dyDescent="0.25">
      <c r="B38" s="33" t="s">
        <v>208</v>
      </c>
    </row>
    <row r="39" spans="1:2" ht="15.75" customHeight="1" x14ac:dyDescent="0.25">
      <c r="B39" s="21" t="s">
        <v>202</v>
      </c>
    </row>
    <row r="40" spans="1:2" ht="15.75" customHeight="1" x14ac:dyDescent="0.25">
      <c r="B40" s="21" t="s">
        <v>56</v>
      </c>
    </row>
    <row r="41" spans="1:2" ht="15.75" customHeight="1" x14ac:dyDescent="0.25">
      <c r="B41" s="32" t="s">
        <v>191</v>
      </c>
    </row>
    <row r="42" spans="1:2" ht="15.75" customHeight="1" x14ac:dyDescent="0.25">
      <c r="B42" t="s">
        <v>209</v>
      </c>
    </row>
    <row r="43" spans="1:2" ht="15.75" customHeight="1" x14ac:dyDescent="0.25">
      <c r="B43" t="s">
        <v>210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8"/>
  <sheetViews>
    <sheetView tabSelected="1" zoomScale="85" zoomScaleNormal="85" workbookViewId="0">
      <selection activeCell="J11" activeCellId="3" sqref="C5 N11:N22 P11:P22 J11:J22 L11:L22 R11:R22"/>
    </sheetView>
  </sheetViews>
  <sheetFormatPr defaultColWidth="14.42578125" defaultRowHeight="15" customHeight="1" x14ac:dyDescent="0.25"/>
  <cols>
    <col min="1" max="1" width="8.5703125" customWidth="1"/>
    <col min="2" max="2" width="31" customWidth="1"/>
    <col min="3" max="3" width="20" customWidth="1"/>
    <col min="4" max="4" width="17.28515625" customWidth="1"/>
    <col min="5" max="5" width="18.5703125" customWidth="1"/>
    <col min="6" max="6" width="19.85546875" customWidth="1"/>
    <col min="7" max="7" width="19.7109375" customWidth="1"/>
    <col min="8" max="8" width="15" customWidth="1"/>
    <col min="9" max="9" width="13" customWidth="1"/>
    <col min="10" max="10" width="16" customWidth="1"/>
    <col min="11" max="11" width="19.28515625" customWidth="1"/>
    <col min="12" max="12" width="14.28515625" customWidth="1"/>
    <col min="13" max="13" width="20.5703125" customWidth="1"/>
    <col min="14" max="14" width="17.140625" customWidth="1"/>
    <col min="15" max="15" width="18.5703125" customWidth="1"/>
    <col min="16" max="16" width="16.5703125" customWidth="1"/>
    <col min="17" max="17" width="21.42578125" customWidth="1"/>
    <col min="18" max="18" width="17.85546875" customWidth="1"/>
    <col min="19" max="19" width="19.28515625" customWidth="1"/>
    <col min="20" max="20" width="16.85546875" customWidth="1"/>
    <col min="21" max="21" width="18" customWidth="1"/>
    <col min="22" max="22" width="15.140625" customWidth="1"/>
    <col min="23" max="23" width="17.42578125" customWidth="1"/>
    <col min="24" max="24" width="17.140625" customWidth="1"/>
    <col min="25" max="26" width="8.7109375" customWidth="1"/>
  </cols>
  <sheetData>
    <row r="1" spans="1:26" ht="30" customHeight="1" x14ac:dyDescent="0.25">
      <c r="A1" s="36" t="s">
        <v>74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8"/>
    </row>
    <row r="3" spans="1:26" x14ac:dyDescent="0.25">
      <c r="B3" s="3" t="s">
        <v>75</v>
      </c>
      <c r="C3" s="39" t="s">
        <v>189</v>
      </c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8"/>
    </row>
    <row r="4" spans="1:26" x14ac:dyDescent="0.25">
      <c r="B4" s="3" t="s">
        <v>76</v>
      </c>
      <c r="C4" s="40" t="s">
        <v>113</v>
      </c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8"/>
    </row>
    <row r="5" spans="1:26" x14ac:dyDescent="0.25">
      <c r="B5" s="3" t="s">
        <v>77</v>
      </c>
      <c r="C5" s="40" t="s">
        <v>55</v>
      </c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8"/>
    </row>
    <row r="6" spans="1:26" x14ac:dyDescent="0.25">
      <c r="B6" s="3" t="s">
        <v>78</v>
      </c>
      <c r="C6" s="39" t="s">
        <v>131</v>
      </c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8"/>
    </row>
    <row r="8" spans="1:26" ht="15.75" x14ac:dyDescent="0.25">
      <c r="A8" s="41" t="s">
        <v>79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0" customFormat="1" ht="48.6" customHeight="1" x14ac:dyDescent="0.25">
      <c r="A10" s="15" t="s">
        <v>112</v>
      </c>
      <c r="B10" s="13" t="s">
        <v>107</v>
      </c>
      <c r="C10" s="14" t="s">
        <v>108</v>
      </c>
      <c r="D10" s="14" t="s">
        <v>108</v>
      </c>
      <c r="E10" s="14" t="s">
        <v>108</v>
      </c>
      <c r="F10" s="13" t="s">
        <v>110</v>
      </c>
      <c r="G10" s="16"/>
      <c r="H10" s="17"/>
      <c r="I10" s="17"/>
      <c r="J10" s="14" t="s">
        <v>108</v>
      </c>
      <c r="K10" s="18" t="s">
        <v>109</v>
      </c>
      <c r="L10" s="14" t="s">
        <v>108</v>
      </c>
      <c r="M10" s="18" t="s">
        <v>109</v>
      </c>
      <c r="N10" s="14" t="s">
        <v>108</v>
      </c>
      <c r="O10" s="18" t="s">
        <v>109</v>
      </c>
      <c r="P10" s="14" t="s">
        <v>108</v>
      </c>
      <c r="Q10" s="18" t="s">
        <v>109</v>
      </c>
      <c r="R10" s="14" t="s">
        <v>108</v>
      </c>
      <c r="S10" s="18" t="s">
        <v>109</v>
      </c>
      <c r="T10" s="17"/>
      <c r="U10" s="17"/>
      <c r="V10" s="17" t="s">
        <v>111</v>
      </c>
      <c r="W10" s="17"/>
      <c r="X10" s="17"/>
      <c r="Y10" s="19"/>
      <c r="Z10" s="19"/>
    </row>
    <row r="11" spans="1:26" s="31" customFormat="1" ht="89.25" customHeight="1" x14ac:dyDescent="0.25">
      <c r="A11" s="26">
        <v>1</v>
      </c>
      <c r="B11" s="27" t="s">
        <v>138</v>
      </c>
      <c r="C11" s="28" t="s">
        <v>11</v>
      </c>
      <c r="D11" s="28" t="s">
        <v>12</v>
      </c>
      <c r="E11" s="28" t="s">
        <v>13</v>
      </c>
      <c r="F11" s="27">
        <v>2</v>
      </c>
      <c r="G11" s="29" t="s">
        <v>148</v>
      </c>
      <c r="H11" s="29" t="s">
        <v>135</v>
      </c>
      <c r="I11" s="29" t="s">
        <v>42</v>
      </c>
      <c r="J11" s="30" t="s">
        <v>191</v>
      </c>
      <c r="K11" s="29" t="s">
        <v>190</v>
      </c>
      <c r="L11" s="30" t="s">
        <v>193</v>
      </c>
      <c r="M11" s="29" t="s">
        <v>139</v>
      </c>
      <c r="N11" s="30" t="s">
        <v>121</v>
      </c>
      <c r="O11" s="29" t="s">
        <v>140</v>
      </c>
      <c r="P11" s="30" t="s">
        <v>37</v>
      </c>
      <c r="Q11" s="29" t="s">
        <v>137</v>
      </c>
      <c r="R11" s="30" t="s">
        <v>191</v>
      </c>
      <c r="S11" s="29" t="s">
        <v>200</v>
      </c>
      <c r="T11" s="29" t="s">
        <v>144</v>
      </c>
      <c r="U11" s="29" t="s">
        <v>145</v>
      </c>
      <c r="V11" s="30" t="s">
        <v>31</v>
      </c>
      <c r="W11" s="29" t="s">
        <v>146</v>
      </c>
      <c r="X11" s="29" t="s">
        <v>147</v>
      </c>
    </row>
    <row r="12" spans="1:26" s="31" customFormat="1" ht="39.75" customHeight="1" x14ac:dyDescent="0.25">
      <c r="A12" s="26">
        <v>2</v>
      </c>
      <c r="B12" s="29" t="s">
        <v>132</v>
      </c>
      <c r="C12" s="30" t="s">
        <v>11</v>
      </c>
      <c r="D12" s="30" t="s">
        <v>21</v>
      </c>
      <c r="E12" s="30" t="s">
        <v>13</v>
      </c>
      <c r="F12" s="29">
        <v>3</v>
      </c>
      <c r="G12" s="29" t="s">
        <v>149</v>
      </c>
      <c r="H12" s="29" t="s">
        <v>41</v>
      </c>
      <c r="I12" s="29" t="s">
        <v>42</v>
      </c>
      <c r="J12" s="30" t="s">
        <v>191</v>
      </c>
      <c r="K12" s="29" t="s">
        <v>192</v>
      </c>
      <c r="L12" s="30" t="s">
        <v>193</v>
      </c>
      <c r="M12" s="29" t="s">
        <v>150</v>
      </c>
      <c r="N12" s="30" t="s">
        <v>121</v>
      </c>
      <c r="O12" s="29" t="s">
        <v>140</v>
      </c>
      <c r="P12" s="30" t="s">
        <v>37</v>
      </c>
      <c r="Q12" s="29" t="s">
        <v>151</v>
      </c>
      <c r="R12" s="30" t="s">
        <v>191</v>
      </c>
      <c r="S12" s="29" t="s">
        <v>201</v>
      </c>
      <c r="T12" s="29" t="s">
        <v>152</v>
      </c>
      <c r="U12" s="29"/>
      <c r="V12" s="30" t="s">
        <v>31</v>
      </c>
      <c r="W12" s="29" t="s">
        <v>43</v>
      </c>
      <c r="X12" s="29" t="s">
        <v>153</v>
      </c>
    </row>
    <row r="13" spans="1:26" s="31" customFormat="1" ht="39.75" customHeight="1" x14ac:dyDescent="0.25">
      <c r="A13" s="26">
        <v>3</v>
      </c>
      <c r="B13" s="29" t="s">
        <v>133</v>
      </c>
      <c r="C13" s="30" t="s">
        <v>11</v>
      </c>
      <c r="D13" s="30" t="s">
        <v>29</v>
      </c>
      <c r="E13" s="30" t="s">
        <v>13</v>
      </c>
      <c r="F13" s="29">
        <v>5</v>
      </c>
      <c r="G13" s="29" t="s">
        <v>159</v>
      </c>
      <c r="H13" s="29"/>
      <c r="I13" s="29"/>
      <c r="J13" s="30" t="s">
        <v>52</v>
      </c>
      <c r="K13" s="29" t="s">
        <v>158</v>
      </c>
      <c r="L13" s="30" t="s">
        <v>191</v>
      </c>
      <c r="M13" s="29" t="s">
        <v>197</v>
      </c>
      <c r="N13" s="30" t="s">
        <v>60</v>
      </c>
      <c r="O13" s="29" t="s">
        <v>160</v>
      </c>
      <c r="P13" s="30"/>
      <c r="Q13" s="29"/>
      <c r="R13" s="30"/>
      <c r="S13" s="29"/>
      <c r="T13" s="29" t="s">
        <v>156</v>
      </c>
      <c r="U13" s="29" t="s">
        <v>157</v>
      </c>
      <c r="V13" s="30" t="s">
        <v>23</v>
      </c>
      <c r="W13" s="29" t="s">
        <v>18</v>
      </c>
      <c r="X13" s="29"/>
    </row>
    <row r="14" spans="1:26" s="31" customFormat="1" ht="39.75" customHeight="1" x14ac:dyDescent="0.25">
      <c r="A14" s="26">
        <v>4</v>
      </c>
      <c r="B14" s="29" t="s">
        <v>183</v>
      </c>
      <c r="C14" s="30" t="s">
        <v>11</v>
      </c>
      <c r="D14" s="30" t="s">
        <v>21</v>
      </c>
      <c r="E14" s="30" t="s">
        <v>13</v>
      </c>
      <c r="F14" s="29">
        <v>3</v>
      </c>
      <c r="G14" s="29" t="s">
        <v>184</v>
      </c>
      <c r="H14" s="29" t="s">
        <v>41</v>
      </c>
      <c r="I14" s="29" t="s">
        <v>42</v>
      </c>
      <c r="J14" s="30" t="s">
        <v>186</v>
      </c>
      <c r="K14" s="29" t="s">
        <v>187</v>
      </c>
      <c r="L14" s="30" t="s">
        <v>193</v>
      </c>
      <c r="M14" s="29" t="s">
        <v>187</v>
      </c>
      <c r="N14" s="30" t="s">
        <v>116</v>
      </c>
      <c r="O14" s="29" t="s">
        <v>187</v>
      </c>
      <c r="P14" s="30" t="s">
        <v>191</v>
      </c>
      <c r="Q14" s="29" t="s">
        <v>199</v>
      </c>
      <c r="R14" s="30"/>
      <c r="S14" s="29"/>
      <c r="T14" s="29" t="s">
        <v>163</v>
      </c>
      <c r="U14" s="29"/>
      <c r="V14" s="30" t="s">
        <v>31</v>
      </c>
      <c r="W14" s="29"/>
      <c r="X14" s="29" t="s">
        <v>185</v>
      </c>
    </row>
    <row r="15" spans="1:26" s="31" customFormat="1" ht="39.75" customHeight="1" x14ac:dyDescent="0.25">
      <c r="A15" s="26">
        <v>5</v>
      </c>
      <c r="B15" s="29" t="s">
        <v>136</v>
      </c>
      <c r="C15" s="30" t="s">
        <v>11</v>
      </c>
      <c r="D15" s="30" t="s">
        <v>38</v>
      </c>
      <c r="E15" s="30" t="s">
        <v>13</v>
      </c>
      <c r="F15" s="29">
        <v>10</v>
      </c>
      <c r="G15" s="29" t="s">
        <v>161</v>
      </c>
      <c r="H15" s="29"/>
      <c r="I15" s="29" t="s">
        <v>42</v>
      </c>
      <c r="J15" s="30" t="s">
        <v>60</v>
      </c>
      <c r="K15" s="29" t="s">
        <v>162</v>
      </c>
      <c r="L15" s="30"/>
      <c r="M15" s="29"/>
      <c r="N15" s="30"/>
      <c r="O15" s="29"/>
      <c r="P15" s="30"/>
      <c r="Q15" s="29"/>
      <c r="R15" s="30"/>
      <c r="S15" s="29"/>
      <c r="T15" s="29" t="s">
        <v>163</v>
      </c>
      <c r="U15" s="29" t="s">
        <v>157</v>
      </c>
      <c r="V15" s="30" t="s">
        <v>31</v>
      </c>
      <c r="W15" s="29" t="s">
        <v>164</v>
      </c>
      <c r="X15" s="29" t="s">
        <v>165</v>
      </c>
    </row>
    <row r="16" spans="1:26" s="31" customFormat="1" ht="39.75" customHeight="1" x14ac:dyDescent="0.25">
      <c r="A16" s="26">
        <v>6</v>
      </c>
      <c r="B16" s="29" t="s">
        <v>155</v>
      </c>
      <c r="C16" s="30" t="s">
        <v>11</v>
      </c>
      <c r="D16" s="30" t="s">
        <v>21</v>
      </c>
      <c r="E16" s="30" t="s">
        <v>13</v>
      </c>
      <c r="F16" s="29">
        <v>3</v>
      </c>
      <c r="G16" s="29" t="s">
        <v>180</v>
      </c>
      <c r="H16" s="29" t="s">
        <v>16</v>
      </c>
      <c r="I16" s="29" t="s">
        <v>42</v>
      </c>
      <c r="J16" s="30" t="s">
        <v>191</v>
      </c>
      <c r="K16" s="29" t="s">
        <v>194</v>
      </c>
      <c r="L16" s="30" t="s">
        <v>193</v>
      </c>
      <c r="M16" s="29" t="s">
        <v>181</v>
      </c>
      <c r="N16" s="30" t="s">
        <v>114</v>
      </c>
      <c r="O16" s="29" t="s">
        <v>181</v>
      </c>
      <c r="P16" s="30"/>
      <c r="Q16" s="29"/>
      <c r="R16" s="30"/>
      <c r="S16" s="29"/>
      <c r="T16" s="29" t="s">
        <v>182</v>
      </c>
      <c r="U16" s="29"/>
      <c r="V16" s="30" t="s">
        <v>23</v>
      </c>
      <c r="W16" s="29" t="s">
        <v>188</v>
      </c>
      <c r="X16" s="29"/>
    </row>
    <row r="17" spans="1:24" s="31" customFormat="1" ht="39.75" customHeight="1" x14ac:dyDescent="0.25">
      <c r="A17" s="26">
        <v>8</v>
      </c>
      <c r="B17" s="29" t="s">
        <v>134</v>
      </c>
      <c r="C17" s="30" t="s">
        <v>11</v>
      </c>
      <c r="D17" s="30" t="s">
        <v>29</v>
      </c>
      <c r="E17" s="30" t="s">
        <v>13</v>
      </c>
      <c r="F17" s="29">
        <v>5</v>
      </c>
      <c r="G17" s="29" t="s">
        <v>170</v>
      </c>
      <c r="H17" s="29" t="s">
        <v>175</v>
      </c>
      <c r="I17" s="29" t="s">
        <v>34</v>
      </c>
      <c r="J17" s="30" t="s">
        <v>191</v>
      </c>
      <c r="K17" s="29" t="s">
        <v>195</v>
      </c>
      <c r="L17" s="30" t="s">
        <v>193</v>
      </c>
      <c r="M17" s="29" t="s">
        <v>172</v>
      </c>
      <c r="N17" s="30" t="s">
        <v>60</v>
      </c>
      <c r="O17" s="29" t="s">
        <v>171</v>
      </c>
      <c r="P17" s="30"/>
      <c r="Q17" s="29"/>
      <c r="R17" s="30"/>
      <c r="S17" s="29"/>
      <c r="T17" s="29" t="s">
        <v>168</v>
      </c>
      <c r="U17" s="29"/>
      <c r="V17" s="30" t="s">
        <v>31</v>
      </c>
      <c r="W17" s="29" t="s">
        <v>173</v>
      </c>
      <c r="X17" s="29" t="s">
        <v>174</v>
      </c>
    </row>
    <row r="18" spans="1:24" s="31" customFormat="1" ht="39.75" customHeight="1" x14ac:dyDescent="0.25">
      <c r="A18" s="26">
        <v>10</v>
      </c>
      <c r="B18" s="29" t="s">
        <v>179</v>
      </c>
      <c r="C18" s="30" t="s">
        <v>11</v>
      </c>
      <c r="D18" s="30" t="s">
        <v>29</v>
      </c>
      <c r="E18" s="30" t="s">
        <v>13</v>
      </c>
      <c r="F18" s="29">
        <v>2</v>
      </c>
      <c r="G18" s="29" t="s">
        <v>176</v>
      </c>
      <c r="H18" s="29"/>
      <c r="I18" s="29"/>
      <c r="J18" s="30" t="s">
        <v>191</v>
      </c>
      <c r="K18" s="29" t="s">
        <v>196</v>
      </c>
      <c r="L18" s="30" t="s">
        <v>193</v>
      </c>
      <c r="M18" s="29" t="s">
        <v>178</v>
      </c>
      <c r="N18" s="30" t="s">
        <v>121</v>
      </c>
      <c r="O18" s="29" t="s">
        <v>140</v>
      </c>
      <c r="P18" s="30" t="s">
        <v>116</v>
      </c>
      <c r="Q18" s="29" t="s">
        <v>177</v>
      </c>
      <c r="R18" s="30"/>
      <c r="S18" s="29"/>
      <c r="T18" s="29" t="s">
        <v>163</v>
      </c>
      <c r="U18" s="29"/>
      <c r="V18" s="30" t="s">
        <v>23</v>
      </c>
      <c r="W18" s="29"/>
      <c r="X18" s="29"/>
    </row>
    <row r="19" spans="1:24" s="31" customFormat="1" ht="39.75" customHeight="1" x14ac:dyDescent="0.25">
      <c r="A19" s="26">
        <v>12</v>
      </c>
      <c r="B19" s="29" t="s">
        <v>154</v>
      </c>
      <c r="C19" s="30" t="s">
        <v>11</v>
      </c>
      <c r="D19" s="30" t="s">
        <v>29</v>
      </c>
      <c r="E19" s="30" t="s">
        <v>13</v>
      </c>
      <c r="F19" s="29">
        <v>2</v>
      </c>
      <c r="G19" s="29" t="s">
        <v>166</v>
      </c>
      <c r="H19" s="29" t="s">
        <v>169</v>
      </c>
      <c r="I19" s="29" t="s">
        <v>42</v>
      </c>
      <c r="J19" s="30" t="s">
        <v>52</v>
      </c>
      <c r="K19" s="29" t="s">
        <v>167</v>
      </c>
      <c r="L19" s="30" t="s">
        <v>60</v>
      </c>
      <c r="M19" s="29" t="s">
        <v>167</v>
      </c>
      <c r="N19" s="30" t="s">
        <v>191</v>
      </c>
      <c r="O19" s="29" t="s">
        <v>198</v>
      </c>
      <c r="P19" s="30"/>
      <c r="Q19" s="29"/>
      <c r="R19" s="30"/>
      <c r="S19" s="29"/>
      <c r="T19" s="29" t="s">
        <v>168</v>
      </c>
      <c r="U19" s="29"/>
      <c r="V19" s="30" t="s">
        <v>31</v>
      </c>
      <c r="W19" s="29" t="s">
        <v>43</v>
      </c>
      <c r="X19" s="29" t="s">
        <v>44</v>
      </c>
    </row>
    <row r="20" spans="1:24" s="31" customFormat="1" ht="39.75" customHeight="1" x14ac:dyDescent="0.25">
      <c r="A20" s="26">
        <v>13</v>
      </c>
      <c r="B20" s="29" t="s">
        <v>141</v>
      </c>
      <c r="C20" s="30" t="s">
        <v>11</v>
      </c>
      <c r="D20" s="30" t="s">
        <v>29</v>
      </c>
      <c r="E20" s="30" t="s">
        <v>22</v>
      </c>
      <c r="F20" s="29">
        <v>5</v>
      </c>
      <c r="G20" s="29" t="s">
        <v>24</v>
      </c>
      <c r="H20" s="29"/>
      <c r="I20" s="29"/>
      <c r="J20" s="30"/>
      <c r="K20" s="29"/>
      <c r="L20" s="30"/>
      <c r="M20" s="29"/>
      <c r="N20" s="30"/>
      <c r="O20" s="29"/>
      <c r="P20" s="30"/>
      <c r="Q20" s="29"/>
      <c r="R20" s="30"/>
      <c r="S20" s="29"/>
      <c r="T20" s="29" t="s">
        <v>143</v>
      </c>
      <c r="U20" s="29" t="s">
        <v>142</v>
      </c>
      <c r="V20" s="30" t="s">
        <v>14</v>
      </c>
      <c r="W20" s="29"/>
      <c r="X20" s="29"/>
    </row>
    <row r="21" spans="1:24" ht="39.75" customHeight="1" x14ac:dyDescent="0.25">
      <c r="A21" s="6"/>
      <c r="B21" s="25"/>
      <c r="C21" s="8"/>
      <c r="D21" s="8"/>
      <c r="E21" s="8"/>
      <c r="F21" s="7"/>
      <c r="G21" s="7"/>
      <c r="H21" s="7"/>
      <c r="I21" s="7"/>
      <c r="J21" s="8"/>
      <c r="K21" s="7"/>
      <c r="L21" s="8"/>
      <c r="M21" s="7"/>
      <c r="N21" s="8"/>
      <c r="O21" s="7"/>
      <c r="P21" s="8"/>
      <c r="Q21" s="7"/>
      <c r="R21" s="8"/>
      <c r="S21" s="7"/>
      <c r="T21" s="7"/>
      <c r="U21" s="7"/>
      <c r="V21" s="8"/>
      <c r="W21" s="7"/>
      <c r="X21" s="7"/>
    </row>
    <row r="22" spans="1:24" ht="39.75" customHeight="1" x14ac:dyDescent="0.25">
      <c r="A22" s="6">
        <v>15</v>
      </c>
      <c r="B22" s="7"/>
      <c r="C22" s="8"/>
      <c r="D22" s="8"/>
      <c r="E22" s="8"/>
      <c r="F22" s="7"/>
      <c r="G22" s="7"/>
      <c r="H22" s="7"/>
      <c r="I22" s="7"/>
      <c r="J22" s="8"/>
      <c r="K22" s="7"/>
      <c r="L22" s="8"/>
      <c r="M22" s="7"/>
      <c r="N22" s="8"/>
      <c r="O22" s="7"/>
      <c r="P22" s="8"/>
      <c r="Q22" s="7"/>
      <c r="R22" s="8"/>
      <c r="S22" s="7"/>
      <c r="T22" s="7"/>
      <c r="U22" s="7"/>
      <c r="V22" s="8"/>
      <c r="W22" s="7"/>
      <c r="X22" s="7"/>
    </row>
    <row r="23" spans="1:24" ht="15.75" customHeight="1" x14ac:dyDescent="0.25"/>
    <row r="24" spans="1:24" ht="15.75" customHeight="1" x14ac:dyDescent="0.25">
      <c r="A24" s="9" t="s">
        <v>103</v>
      </c>
    </row>
    <row r="25" spans="1:24" ht="15.75" customHeight="1" x14ac:dyDescent="0.25">
      <c r="A25" s="10" t="s">
        <v>104</v>
      </c>
      <c r="B25" s="34" t="e">
        <f ca="1">Выпадающий список(ТОЛЬКО из списка)</f>
        <v>#NAME?</v>
      </c>
      <c r="C25" s="35"/>
      <c r="D25" s="35"/>
      <c r="E25" s="35"/>
    </row>
    <row r="26" spans="1:24" ht="15.75" customHeight="1" x14ac:dyDescent="0.25">
      <c r="A26" s="11" t="s">
        <v>105</v>
      </c>
      <c r="B26" s="34" t="e">
        <f>Можно выбрать из списка ИЛИ написать своё</f>
        <v>#NAME?</v>
      </c>
      <c r="C26" s="35"/>
      <c r="D26" s="35"/>
      <c r="E26" s="35"/>
    </row>
    <row r="27" spans="1:24" ht="15.75" customHeight="1" x14ac:dyDescent="0.25"/>
    <row r="28" spans="1:24" ht="15.75" customHeight="1" x14ac:dyDescent="0.25"/>
    <row r="29" spans="1:24" ht="15.75" customHeight="1" x14ac:dyDescent="0.25"/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8">
    <mergeCell ref="B25:E25"/>
    <mergeCell ref="B26:E26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4000000}">
          <x14:formula1>
            <xm:f>Справочники!$A$2:$A$13</xm:f>
          </x14:formula1>
          <xm:sqref>C4</xm:sqref>
        </x14:dataValidation>
        <x14:dataValidation type="list" allowBlank="1" xr:uid="{00000000-0002-0000-0100-000007000000}">
          <x14:formula1>
            <xm:f>Справочники!$B$2:$B$44</xm:f>
          </x14:formula1>
          <xm:sqref>C5 N11:N22 P11:P22 J11:J22 L11:L22 R11:R22</xm:sqref>
        </x14:dataValidation>
        <x14:dataValidation type="list" allowBlank="1" xr:uid="{00000000-0002-0000-0100-000000000000}">
          <x14:formula1>
            <xm:f>Справочники!$E$2:$E$6</xm:f>
          </x14:formula1>
          <xm:sqref>E11:E22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G11:G22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V11:V22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I11:I22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D11:D22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C11:C22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H11:H22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W11:W22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2026-01-26T07:51:19Z</dcterms:modified>
</cp:coreProperties>
</file>