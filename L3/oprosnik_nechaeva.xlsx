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B2628F1-9F2A-45F9-ADAE-7F916563537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3" i="2" l="1"/>
  <c r="B32" i="2"/>
</calcChain>
</file>

<file path=xl/sharedStrings.xml><?xml version="1.0" encoding="utf-8"?>
<sst xmlns="http://schemas.openxmlformats.org/spreadsheetml/2006/main" count="391" uniqueCount="211">
  <si>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</si>
  <si>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</si>
  <si>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</si>
  <si>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</si>
  <si>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</si>
  <si>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</si>
  <si>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</si>
  <si>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</si>
  <si>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</si>
  <si>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</si>
  <si>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</si>
  <si>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</si>
  <si>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</si>
  <si>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</si>
  <si>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</si>
  <si>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</si>
  <si>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</si>
  <si>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</si>
  <si>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</si>
  <si>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</si>
  <si>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</si>
  <si>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</si>
  <si>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</si>
  <si>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</si>
  <si>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</si>
  <si>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</si>
  <si>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</si>
  <si>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</si>
  <si>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</si>
  <si>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</si>
  <si>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</si>
  <si>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</si>
  <si>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</si>
  <si>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</si>
  <si>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</si>
  <si>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</si>
  <si>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</si>
  <si>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</si>
  <si>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</si>
  <si>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</si>
  <si>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</si>
  <si>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</si>
  <si>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</si>
  <si>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</si>
  <si>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</si>
  <si>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</si>
  <si>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</si>
  <si>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</si>
  <si>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</si>
  <si>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</si>
  <si>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</si>
  <si>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</si>
  <si>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</si>
  <si>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</si>
  <si>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</si>
  <si>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</si>
  <si>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</si>
  <si>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</si>
  <si>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</si>
  <si>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</si>
  <si>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</si>
  <si>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</si>
  <si>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</si>
  <si>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</si>
  <si>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</si>
  <si>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</si>
  <si>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</si>
  <si>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</si>
  <si>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</si>
  <si>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</si>
  <si>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</si>
  <si>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</si>
  <si>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</si>
  <si>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</si>
  <si>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</si>
  <si>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</si>
  <si>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</si>
  <si>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</si>
  <si>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</si>
  <si>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</si>
  <si>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</si>
  <si>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</si>
  <si>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</si>
  <si>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</si>
  <si>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</si>
  <si>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</si>
  <si>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</si>
  <si>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</si>
  <si>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</si>
  <si>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</si>
  <si>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</si>
  <si>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</si>
  <si>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</si>
  <si>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</si>
  <si>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</si>
  <si>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</si>
  <si>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</si>
  <si>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</si>
  <si>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</si>
  <si>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</si>
  <si>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</si>
  <si>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</si>
  <si>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</si>
  <si>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</si>
  <si>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</si>
  <si>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</si>
  <si>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</si>
  <si>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</si>
  <si>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</si>
  <si>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</si>
  <si>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</si>
  <si>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</si>
  <si>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</si>
  <si>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</si>
  <si>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</si>
  <si>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</si>
  <si>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</si>
  <si>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</si>
  <si>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</si>
  <si>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</si>
  <si>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</si>
  <si>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</si>
  <si>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</si>
  <si>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</si>
  <si>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</si>
  <si>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</si>
  <si>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</si>
  <si>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</si>
  <si>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</si>
  <si>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</si>
  <si>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</si>
  <si>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</si>
  <si>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</si>
  <si>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</si>
  <si>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</si>
  <si>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</si>
  <si>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тарификации</t>
  </si>
  <si>
    <t>Проверяю инвойсы</t>
  </si>
  <si>
    <t>Создаю наземные туры</t>
  </si>
  <si>
    <t>Создаю туры с перелетом</t>
  </si>
  <si>
    <t xml:space="preserve">Проставляю стопы на отели </t>
  </si>
  <si>
    <t>Прошу написать партнерам, чтобы добавили в получатели наш почтовый адрес</t>
  </si>
  <si>
    <t>Делаю индивидуальные расчеты</t>
  </si>
  <si>
    <t>Другое
Если получили инвойс от отеля, сверяю наши цены с ним и выявляю причину расхождения. Если инвойса нет, но просят проверить все ли корректно (в случае если ближайший заезд и/или билеты на тайм-лимите). Проверяю наш расчет, сравниваю цену с конкурентами и подтверждаю корректность бронирования.</t>
  </si>
  <si>
    <t>Другое
Проставление стоп-сейла в наших системах</t>
  </si>
  <si>
    <t>Отсутствие информации
Партнеры иногда не добавляют наш электронный адрес в список получателей и мы не получаем цены своевременно</t>
  </si>
  <si>
    <t>почта Outlook
Bitrix
Samo Тур
Samo-incoming</t>
  </si>
  <si>
    <t>Нечаева</t>
  </si>
  <si>
    <t>Другое
При своевременном получении спо, мы не будем проигрывать конкурентам в цене.</t>
  </si>
  <si>
    <t>Реплицирую отели по интеграциям</t>
  </si>
  <si>
    <t>Рассчитываю новые отели и/или продлеваю контракты на новый сезон</t>
  </si>
  <si>
    <t>Рассчитываю новые акции и/или продлеваю текущих спо</t>
  </si>
  <si>
    <t>Создаю экскурсионные туры</t>
  </si>
  <si>
    <t>Делаю настройку GDS</t>
  </si>
  <si>
    <t>Вношу комиссию на туры</t>
  </si>
  <si>
    <t>Создаю динамические туры</t>
  </si>
  <si>
    <t>Вношу трансферы</t>
  </si>
  <si>
    <t>Вношу дополнительные услуги</t>
  </si>
  <si>
    <t>Отвечаю на вопросы на почте</t>
  </si>
  <si>
    <t xml:space="preserve">Разбираюсь с ошибками на сайте </t>
  </si>
  <si>
    <t>Делаю сравнение наших цен с ценами конкурентов</t>
  </si>
  <si>
    <t>Ставлю задачу для добавления страховки в систему</t>
  </si>
  <si>
    <t xml:space="preserve">Другое
Если приходит новая акция, вношу в эксель и загружаю в систему. Если приходит продление, но делаю изменение сразу в системе.  </t>
  </si>
  <si>
    <t>Другое
Вношу данные в эксель, загружаю в систему в соответствующие спо и считаю для сайта.</t>
  </si>
  <si>
    <t>Другое
Создание новых туров без перелета в системе. Рассчитываю для сайта</t>
  </si>
  <si>
    <t>Другое
Создание новых туров с перелетом и выведение его на сайт</t>
  </si>
  <si>
    <t xml:space="preserve">Другое
Настраиваю GDS для полетных туров. Обновляю его, если это новый тур. </t>
  </si>
  <si>
    <t>Другое
Не подтягивается GDS-кэш на наш сайт</t>
  </si>
  <si>
    <t>Другое
Мало запросов по необходимому направлению, следовательно не создается кэш и передавать нам нечего</t>
  </si>
  <si>
    <t>Другое
Проставляю комиссию на туры в системе</t>
  </si>
  <si>
    <t>Другое
Создание экскурсионного тура с нуля (с перелетом и/или без перелета). Создается новый отель для конкретной программы, рассчитываются цены в экселе. Далее закружается в систему и рассчитывается на сайт.</t>
  </si>
  <si>
    <t xml:space="preserve">Другое
Создание тура в системе. Настройка внешнего тура и связка тура с поставщиком для получения цен. </t>
  </si>
  <si>
    <t xml:space="preserve">
</t>
  </si>
  <si>
    <t>Другое
Расчет цен по индивидуальным запросам</t>
  </si>
  <si>
    <t>Отдел предоставляет необходимую информацию по контракту от отдела продукта. В случае возникновения вопросов, уточняем у них.</t>
  </si>
  <si>
    <t>Отдел предоставляем необходимую информацию. В случае возникновения вопросов, обращаюсь за уточнением.</t>
  </si>
  <si>
    <t>Отдел предоставляет информации о размере необходимой комиссии.</t>
  </si>
  <si>
    <t>Отдел предоставляет всю необходимую информацию для создания тура.</t>
  </si>
  <si>
    <t>Получаем письма с инвойсом, либо с запросом проверки цены в нашей заявке.</t>
  </si>
  <si>
    <t>Получаем запрос на расчет сложных заявок.</t>
  </si>
  <si>
    <t>Другое
Заведение в систему цен на трансферы и/или продление цен на уже внесенные трансферы</t>
  </si>
  <si>
    <t>Отдел предоставляет всю необходимую информацию.</t>
  </si>
  <si>
    <t>Другое
Добавление в систему дополнительных услуг: новогодние и рождественские ужины, экскурсии, билеты на концерты.</t>
  </si>
  <si>
    <t>Другое
Настройка связи отелей в нашей системе с отелями на стороне партнера.</t>
  </si>
  <si>
    <t>Отдел ставит задачу для настройки интеграции.</t>
  </si>
  <si>
    <t>simpleconnect.online</t>
  </si>
  <si>
    <t xml:space="preserve">почта Outlook
Bitrix
Samo Тур
</t>
  </si>
  <si>
    <t>почта Outlook
Bitrix
Samo Тур
https://www.space-travel.ru/</t>
  </si>
  <si>
    <t>почта Outlook
Bitrix
Samo Тур</t>
  </si>
  <si>
    <t>Другое
Получаем на почту письмо с информацией, что на сайте не дает забронировать тур, выдает ошибку. Ищем причину и устраняем. 
Если устранить ошибку не в наших силах, обращаемся в отдел IT</t>
  </si>
  <si>
    <t>Получаем письма с вопросами и отвечаем на них.</t>
  </si>
  <si>
    <t>Другое
Разбираюсь с вопросом и отвечаю на письмо.</t>
  </si>
  <si>
    <t>В случае, если ошибка не по наше части, мы обращаемся в отдел IT с просьбой разобраться.</t>
  </si>
  <si>
    <t xml:space="preserve">Получаем от отдела письмо с ошибкой. </t>
  </si>
  <si>
    <t>Другое
Сравниваю наши цены с ценами конкурентов.</t>
  </si>
  <si>
    <t>Отдел ставит задачу на проставление стопа.</t>
  </si>
  <si>
    <t>Другое
Если для какой-то страны не заведена страховка в систему, стравим задачу для ее внесения. Либо когда необходимы какие-либо манипуляции со страховкой.</t>
  </si>
  <si>
    <t>Ставим задачу в отдел IT для создания или корректировки страховки.</t>
  </si>
  <si>
    <t xml:space="preserve">почта Outlook
Bitrix
Samo Тур
https://www.space-travel.ru/
</t>
  </si>
  <si>
    <t>Другое
Обновление и подтягивание кэша без нашего участия.</t>
  </si>
  <si>
    <t>почта Outlook
Samo Тур</t>
  </si>
  <si>
    <t>почта Outlook
Samo Тур
https://www.space-travel.ru/</t>
  </si>
  <si>
    <t>Samo Тур</t>
  </si>
  <si>
    <t>http://maldiviana.freedomgroup.online/
https://r-express.ru/
https://arttour.ru/</t>
  </si>
  <si>
    <t>Samo Тур
Samo-incoming</t>
  </si>
  <si>
    <t>Bitrix
Samo Тур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</si>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</sst>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206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209</v>
      </c>
    </row>
    <row r="43" spans="1:2" ht="15.75" customHeight="1" x14ac:dyDescent="0.25">
      <c r="B43" t="s">
        <v>210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tabSelected="1" topLeftCell="A7" zoomScale="70" zoomScaleNormal="70" workbookViewId="0">
      <selection activeCell="J11" activeCellId="3" sqref="C5 P11:P29 N11:N29 J11:J29 L11:L29 R11:R29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9.42578125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147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126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20" x14ac:dyDescent="0.25">
      <c r="A11" s="6">
        <v>1</v>
      </c>
      <c r="B11" s="13" t="s">
        <v>150</v>
      </c>
      <c r="C11" s="14" t="s">
        <v>11</v>
      </c>
      <c r="D11" s="14" t="s">
        <v>29</v>
      </c>
      <c r="E11" s="15" t="s">
        <v>46</v>
      </c>
      <c r="F11" s="13">
        <v>180</v>
      </c>
      <c r="G11" s="7" t="s">
        <v>163</v>
      </c>
      <c r="H11" s="7"/>
      <c r="I11" s="7"/>
      <c r="J11" s="8" t="s">
        <v>124</v>
      </c>
      <c r="K11" s="7" t="s">
        <v>174</v>
      </c>
      <c r="L11" s="8" t="s">
        <v>125</v>
      </c>
      <c r="M11" s="7" t="s">
        <v>174</v>
      </c>
      <c r="N11" s="8"/>
      <c r="O11" s="7"/>
      <c r="P11" s="8"/>
      <c r="Q11" s="7"/>
      <c r="R11" s="8"/>
      <c r="S11" s="7"/>
      <c r="T11" s="7" t="s">
        <v>146</v>
      </c>
      <c r="U11" s="7"/>
      <c r="V11" s="8" t="s">
        <v>31</v>
      </c>
      <c r="W11" s="7"/>
      <c r="X11" s="7"/>
    </row>
    <row r="12" spans="1:26" ht="195" x14ac:dyDescent="0.25">
      <c r="A12" s="6">
        <v>2</v>
      </c>
      <c r="B12" s="7" t="s">
        <v>151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162</v>
      </c>
      <c r="H12" s="7" t="s">
        <v>41</v>
      </c>
      <c r="I12" s="7" t="s">
        <v>145</v>
      </c>
      <c r="J12" s="8" t="s">
        <v>124</v>
      </c>
      <c r="K12" s="7" t="s">
        <v>141</v>
      </c>
      <c r="L12" s="8" t="s">
        <v>125</v>
      </c>
      <c r="M12" s="7" t="s">
        <v>141</v>
      </c>
      <c r="N12" s="8"/>
      <c r="O12" s="7"/>
      <c r="P12" s="8"/>
      <c r="Q12" s="7"/>
      <c r="R12" s="8"/>
      <c r="S12" s="7"/>
      <c r="T12" s="7" t="s">
        <v>146</v>
      </c>
      <c r="U12" s="7"/>
      <c r="V12" s="8" t="s">
        <v>31</v>
      </c>
      <c r="W12" s="7" t="s">
        <v>148</v>
      </c>
      <c r="X12" s="7" t="s">
        <v>51</v>
      </c>
    </row>
    <row r="13" spans="1:26" ht="90" x14ac:dyDescent="0.25">
      <c r="A13" s="6">
        <v>3</v>
      </c>
      <c r="B13" s="7" t="s">
        <v>138</v>
      </c>
      <c r="C13" s="8" t="s">
        <v>11</v>
      </c>
      <c r="D13" s="8" t="s">
        <v>29</v>
      </c>
      <c r="E13" s="8" t="s">
        <v>46</v>
      </c>
      <c r="F13" s="7">
        <v>30</v>
      </c>
      <c r="G13" s="7" t="s">
        <v>164</v>
      </c>
      <c r="H13" s="7"/>
      <c r="I13" s="7"/>
      <c r="J13" s="8" t="s">
        <v>125</v>
      </c>
      <c r="K13" s="7" t="s">
        <v>175</v>
      </c>
      <c r="L13" s="8" t="s">
        <v>130</v>
      </c>
      <c r="M13" s="7" t="s">
        <v>175</v>
      </c>
      <c r="N13" s="8"/>
      <c r="O13" s="7"/>
      <c r="P13" s="8"/>
      <c r="Q13" s="7"/>
      <c r="R13" s="8"/>
      <c r="S13" s="7"/>
      <c r="T13" s="7" t="s">
        <v>198</v>
      </c>
      <c r="U13" s="7"/>
      <c r="V13" s="8" t="s">
        <v>31</v>
      </c>
      <c r="W13" s="7"/>
      <c r="X13" s="7"/>
    </row>
    <row r="14" spans="1:26" ht="90" x14ac:dyDescent="0.25">
      <c r="A14" s="6">
        <v>4</v>
      </c>
      <c r="B14" s="7" t="s">
        <v>139</v>
      </c>
      <c r="C14" s="8" t="s">
        <v>11</v>
      </c>
      <c r="D14" s="8" t="s">
        <v>29</v>
      </c>
      <c r="E14" s="8" t="s">
        <v>46</v>
      </c>
      <c r="F14" s="7">
        <v>40</v>
      </c>
      <c r="G14" s="7" t="s">
        <v>165</v>
      </c>
      <c r="H14" s="7"/>
      <c r="I14" s="7"/>
      <c r="J14" s="8" t="s">
        <v>125</v>
      </c>
      <c r="K14" s="7" t="s">
        <v>175</v>
      </c>
      <c r="L14" s="8" t="s">
        <v>130</v>
      </c>
      <c r="M14" s="7" t="s">
        <v>175</v>
      </c>
      <c r="N14" s="8"/>
      <c r="O14" s="7"/>
      <c r="P14" s="8"/>
      <c r="Q14" s="7"/>
      <c r="R14" s="8"/>
      <c r="S14" s="7"/>
      <c r="T14" s="7" t="s">
        <v>198</v>
      </c>
      <c r="U14" s="7"/>
      <c r="V14" s="8" t="s">
        <v>31</v>
      </c>
      <c r="W14" s="7"/>
      <c r="X14" s="7"/>
    </row>
    <row r="15" spans="1:26" ht="90" x14ac:dyDescent="0.25">
      <c r="A15" s="6">
        <v>5</v>
      </c>
      <c r="B15" s="7" t="s">
        <v>153</v>
      </c>
      <c r="C15" s="8" t="s">
        <v>11</v>
      </c>
      <c r="D15" s="8" t="s">
        <v>29</v>
      </c>
      <c r="E15" s="8" t="s">
        <v>46</v>
      </c>
      <c r="F15" s="7">
        <v>10</v>
      </c>
      <c r="G15" s="7" t="s">
        <v>166</v>
      </c>
      <c r="H15" s="7" t="s">
        <v>167</v>
      </c>
      <c r="I15" s="7" t="s">
        <v>49</v>
      </c>
      <c r="J15" s="8" t="s">
        <v>56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198</v>
      </c>
      <c r="U15" s="7" t="s">
        <v>185</v>
      </c>
      <c r="V15" s="8" t="s">
        <v>31</v>
      </c>
      <c r="W15" s="7" t="s">
        <v>199</v>
      </c>
      <c r="X15" s="7" t="s">
        <v>51</v>
      </c>
    </row>
    <row r="16" spans="1:26" ht="165" x14ac:dyDescent="0.25">
      <c r="A16" s="6"/>
      <c r="B16" s="7"/>
      <c r="C16" s="8"/>
      <c r="D16" s="8"/>
      <c r="E16" s="8"/>
      <c r="F16" s="7"/>
      <c r="G16" s="7"/>
      <c r="H16" s="7" t="s">
        <v>167</v>
      </c>
      <c r="I16" s="7" t="s">
        <v>168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187</v>
      </c>
      <c r="U16" s="7" t="s">
        <v>185</v>
      </c>
      <c r="V16" s="8" t="s">
        <v>31</v>
      </c>
      <c r="W16" s="7" t="s">
        <v>47</v>
      </c>
      <c r="X16" s="7"/>
    </row>
    <row r="17" spans="1:24" ht="60" x14ac:dyDescent="0.25">
      <c r="A17" s="6">
        <v>6</v>
      </c>
      <c r="B17" s="7" t="s">
        <v>154</v>
      </c>
      <c r="C17" s="8" t="s">
        <v>11</v>
      </c>
      <c r="D17" s="8" t="s">
        <v>29</v>
      </c>
      <c r="E17" s="8" t="s">
        <v>46</v>
      </c>
      <c r="F17" s="7">
        <v>5</v>
      </c>
      <c r="G17" s="7" t="s">
        <v>169</v>
      </c>
      <c r="H17" s="7"/>
      <c r="I17" s="7"/>
      <c r="J17" s="8" t="s">
        <v>124</v>
      </c>
      <c r="K17" s="7" t="s">
        <v>176</v>
      </c>
      <c r="L17" s="8" t="s">
        <v>125</v>
      </c>
      <c r="M17" s="7" t="s">
        <v>176</v>
      </c>
      <c r="N17" s="8" t="s">
        <v>130</v>
      </c>
      <c r="O17" s="7" t="s">
        <v>176</v>
      </c>
      <c r="P17" s="8"/>
      <c r="Q17" s="7"/>
      <c r="R17" s="8"/>
      <c r="S17" s="7"/>
      <c r="T17" s="7" t="s">
        <v>186</v>
      </c>
      <c r="U17" s="7"/>
      <c r="V17" s="8" t="s">
        <v>31</v>
      </c>
      <c r="W17" s="7"/>
      <c r="X17" s="7"/>
    </row>
    <row r="18" spans="1:24" ht="225" x14ac:dyDescent="0.25">
      <c r="A18" s="6">
        <v>7</v>
      </c>
      <c r="B18" s="7" t="s">
        <v>152</v>
      </c>
      <c r="C18" s="8" t="s">
        <v>11</v>
      </c>
      <c r="D18" s="8" t="s">
        <v>29</v>
      </c>
      <c r="E18" s="8" t="s">
        <v>46</v>
      </c>
      <c r="F18" s="7">
        <v>50</v>
      </c>
      <c r="G18" s="7" t="s">
        <v>170</v>
      </c>
      <c r="H18" s="7"/>
      <c r="I18" s="7"/>
      <c r="J18" s="8" t="s">
        <v>124</v>
      </c>
      <c r="K18" s="7" t="s">
        <v>177</v>
      </c>
      <c r="L18" s="8" t="s">
        <v>125</v>
      </c>
      <c r="M18" s="7" t="s">
        <v>177</v>
      </c>
      <c r="N18" s="8" t="s">
        <v>130</v>
      </c>
      <c r="O18" s="7" t="s">
        <v>177</v>
      </c>
      <c r="P18" s="8"/>
      <c r="Q18" s="7"/>
      <c r="R18" s="8"/>
      <c r="S18" s="7"/>
      <c r="T18" s="7" t="s">
        <v>187</v>
      </c>
      <c r="U18" s="7"/>
      <c r="V18" s="8" t="s">
        <v>31</v>
      </c>
      <c r="W18" s="7"/>
      <c r="X18" s="7"/>
    </row>
    <row r="19" spans="1:24" ht="105" x14ac:dyDescent="0.25">
      <c r="A19" s="6">
        <v>8</v>
      </c>
      <c r="B19" s="7" t="s">
        <v>155</v>
      </c>
      <c r="C19" s="8" t="s">
        <v>11</v>
      </c>
      <c r="D19" s="8" t="s">
        <v>29</v>
      </c>
      <c r="E19" s="8" t="s">
        <v>46</v>
      </c>
      <c r="F19" s="7">
        <v>60</v>
      </c>
      <c r="G19" s="7" t="s">
        <v>171</v>
      </c>
      <c r="H19" s="7"/>
      <c r="I19" s="7"/>
      <c r="J19" s="8" t="s">
        <v>123</v>
      </c>
      <c r="K19" s="7" t="s">
        <v>177</v>
      </c>
      <c r="L19" s="8" t="s">
        <v>124</v>
      </c>
      <c r="M19" s="7" t="s">
        <v>177</v>
      </c>
      <c r="N19" s="8" t="s">
        <v>125</v>
      </c>
      <c r="O19" s="7" t="s">
        <v>177</v>
      </c>
      <c r="P19" s="8" t="s">
        <v>130</v>
      </c>
      <c r="Q19" s="7" t="s">
        <v>177</v>
      </c>
      <c r="R19" s="8"/>
      <c r="S19" s="7"/>
      <c r="T19" s="7" t="s">
        <v>186</v>
      </c>
      <c r="U19" s="7"/>
      <c r="V19" s="8" t="s">
        <v>31</v>
      </c>
      <c r="W19" s="7"/>
      <c r="X19" s="7"/>
    </row>
    <row r="20" spans="1:24" ht="249.75" customHeight="1" x14ac:dyDescent="0.25">
      <c r="A20" s="6">
        <v>9</v>
      </c>
      <c r="B20" s="7" t="s">
        <v>137</v>
      </c>
      <c r="C20" s="8" t="s">
        <v>11</v>
      </c>
      <c r="D20" s="8" t="s">
        <v>29</v>
      </c>
      <c r="E20" s="8" t="s">
        <v>13</v>
      </c>
      <c r="F20" s="7">
        <v>20</v>
      </c>
      <c r="G20" s="7" t="s">
        <v>143</v>
      </c>
      <c r="H20" s="7" t="s">
        <v>172</v>
      </c>
      <c r="I20" s="7"/>
      <c r="J20" s="8" t="s">
        <v>52</v>
      </c>
      <c r="K20" s="7" t="s">
        <v>178</v>
      </c>
      <c r="L20" s="8" t="s">
        <v>116</v>
      </c>
      <c r="M20" s="7" t="s">
        <v>178</v>
      </c>
      <c r="N20" s="8"/>
      <c r="O20" s="7"/>
      <c r="P20" s="8"/>
      <c r="Q20" s="7"/>
      <c r="R20" s="8"/>
      <c r="S20" s="7"/>
      <c r="T20" s="7" t="s">
        <v>187</v>
      </c>
      <c r="U20" s="7" t="s">
        <v>203</v>
      </c>
      <c r="V20" s="8" t="s">
        <v>31</v>
      </c>
      <c r="W20" s="7"/>
      <c r="X20" s="7"/>
    </row>
    <row r="21" spans="1:24" ht="60" x14ac:dyDescent="0.25">
      <c r="A21" s="6">
        <v>10</v>
      </c>
      <c r="B21" s="7" t="s">
        <v>142</v>
      </c>
      <c r="C21" s="8" t="s">
        <v>11</v>
      </c>
      <c r="D21" s="8" t="s">
        <v>29</v>
      </c>
      <c r="E21" s="8" t="s">
        <v>46</v>
      </c>
      <c r="F21" s="7">
        <v>20</v>
      </c>
      <c r="G21" s="7" t="s">
        <v>173</v>
      </c>
      <c r="H21" s="7"/>
      <c r="I21" s="7"/>
      <c r="J21" s="8" t="s">
        <v>52</v>
      </c>
      <c r="K21" s="7" t="s">
        <v>179</v>
      </c>
      <c r="L21" s="8" t="s">
        <v>116</v>
      </c>
      <c r="M21" s="7" t="s">
        <v>179</v>
      </c>
      <c r="N21" s="8"/>
      <c r="O21" s="7"/>
      <c r="P21" s="8"/>
      <c r="Q21" s="7"/>
      <c r="R21" s="8"/>
      <c r="S21" s="7"/>
      <c r="T21" s="7" t="s">
        <v>186</v>
      </c>
      <c r="U21" s="7"/>
      <c r="V21" s="8" t="s">
        <v>31</v>
      </c>
      <c r="W21" s="7"/>
      <c r="X21" s="7"/>
    </row>
    <row r="22" spans="1:24" ht="105" x14ac:dyDescent="0.25">
      <c r="A22" s="6">
        <v>11</v>
      </c>
      <c r="B22" s="7" t="s">
        <v>156</v>
      </c>
      <c r="C22" s="8" t="s">
        <v>11</v>
      </c>
      <c r="D22" s="8" t="s">
        <v>29</v>
      </c>
      <c r="E22" s="8" t="s">
        <v>46</v>
      </c>
      <c r="F22" s="7">
        <v>10</v>
      </c>
      <c r="G22" s="7" t="s">
        <v>180</v>
      </c>
      <c r="H22" s="7"/>
      <c r="I22" s="7"/>
      <c r="J22" s="8" t="s">
        <v>124</v>
      </c>
      <c r="K22" s="7" t="s">
        <v>181</v>
      </c>
      <c r="L22" s="8" t="s">
        <v>125</v>
      </c>
      <c r="M22" s="7" t="s">
        <v>181</v>
      </c>
      <c r="N22" s="8" t="s">
        <v>123</v>
      </c>
      <c r="O22" s="7" t="s">
        <v>181</v>
      </c>
      <c r="P22" s="8" t="s">
        <v>130</v>
      </c>
      <c r="Q22" s="7" t="s">
        <v>181</v>
      </c>
      <c r="R22" s="8"/>
      <c r="S22" s="7"/>
      <c r="T22" s="7" t="s">
        <v>146</v>
      </c>
      <c r="U22" s="7"/>
      <c r="V22" s="8" t="s">
        <v>31</v>
      </c>
      <c r="W22" s="7"/>
      <c r="X22" s="7"/>
    </row>
    <row r="23" spans="1:24" ht="120" x14ac:dyDescent="0.25">
      <c r="A23" s="6">
        <v>12</v>
      </c>
      <c r="B23" s="7" t="s">
        <v>157</v>
      </c>
      <c r="C23" s="8" t="s">
        <v>11</v>
      </c>
      <c r="D23" s="8" t="s">
        <v>29</v>
      </c>
      <c r="E23" s="8" t="s">
        <v>46</v>
      </c>
      <c r="F23" s="7">
        <v>10</v>
      </c>
      <c r="G23" s="7" t="s">
        <v>182</v>
      </c>
      <c r="H23" s="7"/>
      <c r="I23" s="7"/>
      <c r="J23" s="8" t="s">
        <v>124</v>
      </c>
      <c r="K23" s="7" t="s">
        <v>181</v>
      </c>
      <c r="L23" s="8" t="s">
        <v>125</v>
      </c>
      <c r="M23" s="7" t="s">
        <v>181</v>
      </c>
      <c r="N23" s="8" t="s">
        <v>123</v>
      </c>
      <c r="O23" s="7" t="s">
        <v>181</v>
      </c>
      <c r="P23" s="8" t="s">
        <v>130</v>
      </c>
      <c r="Q23" s="7" t="s">
        <v>181</v>
      </c>
      <c r="R23" s="8"/>
      <c r="S23" s="7"/>
      <c r="T23" s="7" t="s">
        <v>146</v>
      </c>
      <c r="U23" s="7"/>
      <c r="V23" s="8" t="s">
        <v>31</v>
      </c>
      <c r="W23" s="7"/>
      <c r="X23" s="7"/>
    </row>
    <row r="24" spans="1:24" ht="75" x14ac:dyDescent="0.25">
      <c r="A24" s="6">
        <v>13</v>
      </c>
      <c r="B24" s="7" t="s">
        <v>149</v>
      </c>
      <c r="C24" s="8" t="s">
        <v>11</v>
      </c>
      <c r="D24" s="8" t="s">
        <v>29</v>
      </c>
      <c r="E24" s="8" t="s">
        <v>46</v>
      </c>
      <c r="F24" s="7">
        <v>60</v>
      </c>
      <c r="G24" s="7" t="s">
        <v>183</v>
      </c>
      <c r="H24" s="7"/>
      <c r="I24" s="7"/>
      <c r="J24" s="8" t="s">
        <v>125</v>
      </c>
      <c r="K24" s="7" t="s">
        <v>184</v>
      </c>
      <c r="L24" s="8"/>
      <c r="M24" s="7"/>
      <c r="N24" s="8"/>
      <c r="O24" s="7"/>
      <c r="P24" s="8"/>
      <c r="Q24" s="7"/>
      <c r="R24" s="8"/>
      <c r="S24" s="7"/>
      <c r="T24" s="7" t="s">
        <v>188</v>
      </c>
      <c r="U24" s="7"/>
      <c r="V24" s="8" t="s">
        <v>31</v>
      </c>
      <c r="W24" s="7"/>
      <c r="X24" s="7"/>
    </row>
    <row r="25" spans="1:24" ht="46.5" customHeight="1" x14ac:dyDescent="0.25">
      <c r="A25" s="6">
        <v>14</v>
      </c>
      <c r="B25" s="7" t="s">
        <v>158</v>
      </c>
      <c r="C25" s="8" t="s">
        <v>11</v>
      </c>
      <c r="D25" s="8" t="s">
        <v>29</v>
      </c>
      <c r="E25" s="8" t="s">
        <v>13</v>
      </c>
      <c r="F25" s="7">
        <v>20</v>
      </c>
      <c r="G25" s="7" t="s">
        <v>191</v>
      </c>
      <c r="H25" s="7"/>
      <c r="I25" s="7"/>
      <c r="J25" s="8" t="s">
        <v>52</v>
      </c>
      <c r="K25" s="7" t="s">
        <v>190</v>
      </c>
      <c r="L25" s="8" t="s">
        <v>55</v>
      </c>
      <c r="M25" s="7" t="s">
        <v>190</v>
      </c>
      <c r="N25" s="8" t="s">
        <v>116</v>
      </c>
      <c r="O25" s="7" t="s">
        <v>190</v>
      </c>
      <c r="P25" s="8"/>
      <c r="Q25" s="7"/>
      <c r="R25" s="8"/>
      <c r="S25" s="7"/>
      <c r="T25" s="7" t="s">
        <v>200</v>
      </c>
      <c r="U25" s="7"/>
      <c r="V25" s="8" t="s">
        <v>31</v>
      </c>
      <c r="W25" s="7"/>
      <c r="X25" s="7"/>
    </row>
    <row r="26" spans="1:24" ht="195" x14ac:dyDescent="0.25">
      <c r="A26" s="6">
        <v>15</v>
      </c>
      <c r="B26" s="7" t="s">
        <v>159</v>
      </c>
      <c r="C26" s="8" t="s">
        <v>11</v>
      </c>
      <c r="D26" s="8" t="s">
        <v>29</v>
      </c>
      <c r="E26" s="8" t="s">
        <v>22</v>
      </c>
      <c r="F26" s="7">
        <v>20</v>
      </c>
      <c r="G26" s="7" t="s">
        <v>189</v>
      </c>
      <c r="H26" s="7"/>
      <c r="I26" s="7"/>
      <c r="J26" s="8" t="s">
        <v>56</v>
      </c>
      <c r="K26" s="7" t="s">
        <v>192</v>
      </c>
      <c r="L26" s="8" t="s">
        <v>52</v>
      </c>
      <c r="M26" s="7" t="s">
        <v>193</v>
      </c>
      <c r="N26" s="8" t="s">
        <v>116</v>
      </c>
      <c r="O26" s="7" t="s">
        <v>193</v>
      </c>
      <c r="P26" s="8"/>
      <c r="Q26" s="7"/>
      <c r="R26" s="8"/>
      <c r="S26" s="7"/>
      <c r="T26" s="7" t="s">
        <v>201</v>
      </c>
      <c r="U26" s="7"/>
      <c r="V26" s="8" t="s">
        <v>31</v>
      </c>
      <c r="W26" s="7"/>
      <c r="X26" s="7"/>
    </row>
    <row r="27" spans="1:24" ht="90" x14ac:dyDescent="0.25">
      <c r="A27" s="6">
        <v>16</v>
      </c>
      <c r="B27" s="7" t="s">
        <v>160</v>
      </c>
      <c r="C27" s="8" t="s">
        <v>11</v>
      </c>
      <c r="D27" s="8" t="s">
        <v>29</v>
      </c>
      <c r="E27" s="8" t="s">
        <v>46</v>
      </c>
      <c r="F27" s="7">
        <v>10</v>
      </c>
      <c r="G27" s="7" t="s">
        <v>194</v>
      </c>
      <c r="H27" s="7"/>
      <c r="I27" s="7"/>
      <c r="J27" s="8"/>
      <c r="K27" s="7"/>
      <c r="L27" s="8"/>
      <c r="M27" s="7"/>
      <c r="N27" s="8"/>
      <c r="O27" s="7"/>
      <c r="P27" s="8"/>
      <c r="Q27" s="7"/>
      <c r="R27" s="8"/>
      <c r="S27" s="7"/>
      <c r="T27" s="7" t="s">
        <v>202</v>
      </c>
      <c r="U27" s="7" t="s">
        <v>203</v>
      </c>
      <c r="V27" s="8" t="s">
        <v>31</v>
      </c>
      <c r="W27" s="7"/>
      <c r="X27" s="7"/>
    </row>
    <row r="28" spans="1:24" ht="46.5" customHeight="1" x14ac:dyDescent="0.25">
      <c r="A28" s="6">
        <v>17</v>
      </c>
      <c r="B28" s="7" t="s">
        <v>140</v>
      </c>
      <c r="C28" s="8" t="s">
        <v>11</v>
      </c>
      <c r="D28" s="8" t="s">
        <v>29</v>
      </c>
      <c r="E28" s="8" t="s">
        <v>46</v>
      </c>
      <c r="F28" s="7">
        <v>5</v>
      </c>
      <c r="G28" s="7" t="s">
        <v>144</v>
      </c>
      <c r="H28" s="7"/>
      <c r="I28" s="7"/>
      <c r="J28" s="8" t="s">
        <v>124</v>
      </c>
      <c r="K28" s="7" t="s">
        <v>195</v>
      </c>
      <c r="L28" s="8" t="s">
        <v>125</v>
      </c>
      <c r="M28" s="7" t="s">
        <v>195</v>
      </c>
      <c r="N28" s="8" t="s">
        <v>123</v>
      </c>
      <c r="O28" s="7" t="s">
        <v>195</v>
      </c>
      <c r="P28" s="8" t="s">
        <v>130</v>
      </c>
      <c r="Q28" s="7" t="s">
        <v>195</v>
      </c>
      <c r="R28" s="8"/>
      <c r="S28" s="7"/>
      <c r="T28" s="7" t="s">
        <v>204</v>
      </c>
      <c r="U28" s="7"/>
      <c r="V28" s="8" t="s">
        <v>31</v>
      </c>
      <c r="W28" s="7"/>
      <c r="X28" s="7"/>
    </row>
    <row r="29" spans="1:24" ht="150" x14ac:dyDescent="0.25">
      <c r="A29" s="6">
        <v>18</v>
      </c>
      <c r="B29" s="7" t="s">
        <v>161</v>
      </c>
      <c r="C29" s="8" t="s">
        <v>11</v>
      </c>
      <c r="D29" s="8" t="s">
        <v>38</v>
      </c>
      <c r="E29" s="8" t="s">
        <v>46</v>
      </c>
      <c r="F29" s="7">
        <v>2</v>
      </c>
      <c r="G29" s="7" t="s">
        <v>196</v>
      </c>
      <c r="H29" s="7"/>
      <c r="I29" s="7"/>
      <c r="J29" s="8" t="s">
        <v>56</v>
      </c>
      <c r="K29" s="7" t="s">
        <v>197</v>
      </c>
      <c r="L29" s="8"/>
      <c r="M29" s="7"/>
      <c r="N29" s="8"/>
      <c r="O29" s="7"/>
      <c r="P29" s="8"/>
      <c r="Q29" s="7"/>
      <c r="R29" s="8"/>
      <c r="S29" s="7"/>
      <c r="T29" s="7" t="s">
        <v>205</v>
      </c>
      <c r="U29" s="7"/>
      <c r="V29" s="8" t="s">
        <v>31</v>
      </c>
      <c r="W29" s="7"/>
      <c r="X29" s="7"/>
    </row>
    <row r="30" spans="1:24" ht="15.75" customHeight="1" x14ac:dyDescent="0.25"/>
    <row r="31" spans="1:24" ht="15.75" customHeight="1" x14ac:dyDescent="0.25">
      <c r="A31" s="9" t="s">
        <v>103</v>
      </c>
    </row>
    <row r="32" spans="1:24" ht="15.75" customHeight="1" x14ac:dyDescent="0.25">
      <c r="A32" s="10" t="s">
        <v>104</v>
      </c>
      <c r="B32" s="29" t="e">
        <f ca="1">Выпадающий список(ТОЛЬКО из списка)</f>
        <v>#NAME?</v>
      </c>
      <c r="C32" s="30"/>
      <c r="D32" s="30"/>
      <c r="E32" s="30"/>
    </row>
    <row r="33" spans="1:5" ht="15.75" customHeight="1" x14ac:dyDescent="0.25">
      <c r="A33" s="11" t="s">
        <v>105</v>
      </c>
      <c r="B33" s="29" t="e">
        <f>Можно выбрать из списка ИЛИ написать своё</f>
        <v>#NAME?</v>
      </c>
      <c r="C33" s="30"/>
      <c r="D33" s="30"/>
      <c r="E33" s="30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8">
    <mergeCell ref="B32:E32"/>
    <mergeCell ref="B33:E33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P11:P29 N11:N29 J11:J29 L11:L29 R11:R29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E11:E29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G11:G29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V11:V29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I11:I29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D11:D29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C11:C29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H11:H29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W11:W29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2026-01-26T07:28:05Z</dcterms:modified>
</cp:coreProperties>
</file>