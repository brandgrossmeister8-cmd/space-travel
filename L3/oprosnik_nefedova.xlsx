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1D3AA6E-AF23-4CD8-985C-FAB1FDBE7AD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7" i="2" l="1"/>
  <c r="B26" i="2"/>
</calcChain>
</file>

<file path=xl/sharedStrings.xml><?xml version="1.0" encoding="utf-8"?>
<sst xmlns="http://schemas.openxmlformats.org/spreadsheetml/2006/main" count="266" uniqueCount="171">
  <si>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</si>
  <si>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</si>
  <si>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</si>
  <si>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</si>
  <si>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</si>
  <si>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</si>
  <si>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</si>
  <si>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</si>
  <si>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</si>
  <si>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</si>
  <si>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</si>
  <si>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</si>
  <si>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</si>
  <si>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</si>
  <si>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</si>
  <si>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</si>
  <si>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</si>
  <si>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</si>
  <si>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</si>
  <si>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</si>
  <si>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</si>
  <si>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</si>
  <si>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</si>
  <si>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</si>
  <si>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</si>
  <si>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</si>
  <si>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</si>
  <si>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</si>
  <si>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</si>
  <si>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</si>
  <si>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</si>
  <si>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</si>
  <si>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</si>
  <si>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</si>
  <si>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</si>
  <si>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</si>
  <si>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</si>
  <si>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</si>
  <si>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</si>
  <si>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</si>
  <si>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</si>
  <si>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</si>
  <si>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</si>
  <si>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</si>
  <si>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</si>
  <si>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</si>
  <si>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</si>
  <si>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</si>
  <si>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</si>
  <si>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</si>
  <si>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</si>
  <si>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</si>
  <si>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</si>
  <si>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</si>
  <si>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</si>
  <si>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</si>
  <si>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</si>
  <si>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</si>
  <si>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</si>
  <si>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</si>
  <si>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</si>
  <si>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</si>
  <si>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</si>
  <si>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</si>
  <si>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</si>
  <si>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</si>
  <si>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</si>
  <si>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</si>
  <si>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</si>
  <si>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</si>
  <si>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</si>
  <si>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</si>
  <si>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</si>
  <si>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</si>
  <si>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</si>
  <si>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</si>
  <si>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</si>
  <si>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</si>
  <si>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</si>
  <si>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</si>
  <si>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</si>
  <si>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</si>
  <si>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</si>
  <si>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</si>
  <si>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</si>
  <si>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</si>
  <si>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</si>
  <si>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</si>
  <si>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</si>
  <si>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</si>
  <si>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</si>
  <si>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</si>
  <si>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</si>
  <si>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</si>
  <si>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</si>
  <si>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</si>
  <si>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</si>
  <si>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</si>
  <si>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</si>
  <si>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</si>
  <si>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</si>
  <si>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</si>
  <si>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</si>
  <si>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</si>
  <si>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</si>
  <si>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</si>
  <si>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</si>
  <si>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</si>
  <si>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</si>
  <si>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</si>
  <si>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</si>
  <si>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</si>
  <si>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</si>
  <si>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</si>
  <si>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</si>
  <si>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</si>
  <si>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</si>
  <si>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</si>
  <si>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</si>
  <si>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</si>
  <si>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</si>
  <si>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</si>
  <si>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</si>
  <si>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</si>
  <si>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</si>
  <si>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</si>
  <si>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</si>
  <si>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</si>
  <si>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</si>
  <si>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</si>
  <si>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</si>
  <si>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по работе с ключевыми клиентами</t>
  </si>
  <si>
    <t xml:space="preserve">отчет агента </t>
  </si>
  <si>
    <t xml:space="preserve">Агент нам присылает проблему, что не может выгрузить счет. Мы направляем в бухгалтерию, чтобы они выгрузили счет для отчета агента. </t>
  </si>
  <si>
    <t xml:space="preserve">Лишнее Согласование с отделом. </t>
  </si>
  <si>
    <t xml:space="preserve">Ответы на сообщения </t>
  </si>
  <si>
    <t xml:space="preserve">Сайты партнеров, Сайты других ТО </t>
  </si>
  <si>
    <t>Диск L</t>
  </si>
  <si>
    <t xml:space="preserve">Консультация по отелям + поиск информации, которую запрашивает агент  </t>
  </si>
  <si>
    <t>САМО</t>
  </si>
  <si>
    <t>САМО, Битрикс, таблицы Google</t>
  </si>
  <si>
    <t>Написание текстов для канала (в том числе и подбор туров)</t>
  </si>
  <si>
    <t xml:space="preserve">Сокращение времени выполнения </t>
  </si>
  <si>
    <t>Обрабатываю договоры + продлеваю договоры</t>
  </si>
  <si>
    <t xml:space="preserve">Почта, Мессенджеры. </t>
  </si>
  <si>
    <t>Создаю сделки в Bitrix</t>
  </si>
  <si>
    <t>Оплата услуг по РС</t>
  </si>
  <si>
    <t xml:space="preserve">Ежемесячный отчет </t>
  </si>
  <si>
    <t>САМО, таблицы Excel</t>
  </si>
  <si>
    <t xml:space="preserve">Социальные сети </t>
  </si>
  <si>
    <t>регистрирую агента в системе</t>
  </si>
  <si>
    <t>Организую Мероприятия</t>
  </si>
  <si>
    <t>Почта, диск L</t>
  </si>
  <si>
    <t>Почта, мессенджеры</t>
  </si>
  <si>
    <t>Сокращение времени выполнения.</t>
  </si>
  <si>
    <t xml:space="preserve">Сокращение времени выполнения. Поиск необходимой информации в одном месте. Так как несколько источников, тяжело искать во всех, либо приходится запрашивать у партнеров. </t>
  </si>
  <si>
    <t>Битрикс</t>
  </si>
  <si>
    <t xml:space="preserve">Сокращение времени выполнения. Необходимо выгрузить статистику, загрузка которой занимает много времени. Хотелось бы автоматическое уведомление, если агенты вступили в новый статус. </t>
  </si>
  <si>
    <t xml:space="preserve">отслеживаю статус агента </t>
  </si>
  <si>
    <t>Упрощение коммуникаций. Была автоматическая выгрузка отчетов агента. (независимо каким способом было оплачено)</t>
  </si>
  <si>
    <t>Нефедова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</si>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</sst>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163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164</v>
      </c>
    </row>
    <row r="36" spans="1:2" ht="15.75" customHeight="1" x14ac:dyDescent="0.25">
      <c r="B36" s="24" t="s">
        <v>165</v>
      </c>
    </row>
    <row r="37" spans="1:2" ht="15.75" customHeight="1" x14ac:dyDescent="0.25">
      <c r="B37" s="28" t="s">
        <v>166</v>
      </c>
    </row>
    <row r="38" spans="1:2" ht="15.75" customHeight="1" x14ac:dyDescent="0.25">
      <c r="B38" s="29" t="s">
        <v>167</v>
      </c>
    </row>
    <row r="39" spans="1:2" ht="15.75" customHeight="1" x14ac:dyDescent="0.25">
      <c r="B39" s="24" t="s">
        <v>161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168</v>
      </c>
    </row>
    <row r="42" spans="1:2" ht="15.75" customHeight="1" x14ac:dyDescent="0.25">
      <c r="B42" t="s">
        <v>169</v>
      </c>
    </row>
    <row r="43" spans="1:2" ht="15.75" customHeight="1" x14ac:dyDescent="0.25">
      <c r="B43" t="s">
        <v>170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topLeftCell="C1" zoomScale="55" zoomScaleNormal="55" workbookViewId="0">
      <selection activeCell="L14" activeCellId="5" sqref="C5 R11:R23 P11:P23 N11:N23 J11:J23 L11:L23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31.85546875" customWidth="1"/>
    <col min="24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160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150</v>
      </c>
      <c r="C11" s="14" t="s">
        <v>11</v>
      </c>
      <c r="D11" s="14" t="s">
        <v>12</v>
      </c>
      <c r="E11" s="15" t="s">
        <v>46</v>
      </c>
      <c r="F11" s="13">
        <v>20</v>
      </c>
      <c r="G11" s="7" t="s">
        <v>15</v>
      </c>
      <c r="H11" s="7" t="s">
        <v>47</v>
      </c>
      <c r="I11" s="7" t="s">
        <v>17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140</v>
      </c>
      <c r="U11" s="7"/>
      <c r="V11" s="8" t="s">
        <v>31</v>
      </c>
      <c r="W11" s="7" t="s">
        <v>18</v>
      </c>
      <c r="X11" s="7" t="s">
        <v>44</v>
      </c>
    </row>
    <row r="12" spans="1:26" ht="39.75" customHeight="1" x14ac:dyDescent="0.25">
      <c r="A12" s="6">
        <v>2</v>
      </c>
      <c r="B12" s="7" t="s">
        <v>143</v>
      </c>
      <c r="C12" s="8" t="s">
        <v>11</v>
      </c>
      <c r="D12" s="8" t="s">
        <v>12</v>
      </c>
      <c r="E12" s="8" t="s">
        <v>46</v>
      </c>
      <c r="F12" s="7">
        <v>20</v>
      </c>
      <c r="G12" s="7" t="s">
        <v>15</v>
      </c>
      <c r="H12" s="7" t="s">
        <v>47</v>
      </c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 t="s">
        <v>144</v>
      </c>
      <c r="V12" s="8" t="s">
        <v>31</v>
      </c>
      <c r="W12" s="7" t="s">
        <v>18</v>
      </c>
      <c r="X12" s="7" t="s">
        <v>44</v>
      </c>
    </row>
    <row r="13" spans="1:26" ht="39.75" customHeight="1" x14ac:dyDescent="0.25">
      <c r="A13" s="6">
        <v>3</v>
      </c>
      <c r="B13" s="7" t="s">
        <v>145</v>
      </c>
      <c r="C13" s="8" t="s">
        <v>11</v>
      </c>
      <c r="D13" s="8" t="s">
        <v>29</v>
      </c>
      <c r="E13" s="8" t="s">
        <v>46</v>
      </c>
      <c r="F13" s="7">
        <v>5</v>
      </c>
      <c r="G13" s="7" t="s">
        <v>15</v>
      </c>
      <c r="H13" s="7"/>
      <c r="I13" s="7" t="s">
        <v>49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156</v>
      </c>
      <c r="U13" s="7"/>
      <c r="V13" s="8"/>
      <c r="W13" s="7" t="s">
        <v>18</v>
      </c>
      <c r="X13" s="7" t="s">
        <v>28</v>
      </c>
    </row>
    <row r="14" spans="1:26" ht="39.75" customHeight="1" x14ac:dyDescent="0.25">
      <c r="A14" s="6">
        <v>4</v>
      </c>
      <c r="B14" s="7" t="s">
        <v>151</v>
      </c>
      <c r="C14" s="8" t="s">
        <v>20</v>
      </c>
      <c r="D14" s="8" t="s">
        <v>29</v>
      </c>
      <c r="E14" s="8" t="s">
        <v>46</v>
      </c>
      <c r="F14" s="7"/>
      <c r="G14" s="7"/>
      <c r="H14" s="7"/>
      <c r="I14" s="7"/>
      <c r="J14" s="8" t="s">
        <v>58</v>
      </c>
      <c r="K14" s="7" t="s">
        <v>134</v>
      </c>
      <c r="L14" s="8" t="s">
        <v>114</v>
      </c>
      <c r="M14" s="7" t="s">
        <v>146</v>
      </c>
      <c r="N14" s="8"/>
      <c r="O14" s="7"/>
      <c r="P14" s="8"/>
      <c r="Q14" s="7"/>
      <c r="R14" s="8"/>
      <c r="S14" s="7"/>
      <c r="T14" s="7"/>
      <c r="U14" s="7"/>
      <c r="V14" s="8"/>
      <c r="W14" s="7" t="s">
        <v>18</v>
      </c>
      <c r="X14" s="7"/>
    </row>
    <row r="15" spans="1:26" ht="39.75" customHeight="1" x14ac:dyDescent="0.25">
      <c r="A15" s="6">
        <v>6</v>
      </c>
      <c r="B15" s="7" t="s">
        <v>132</v>
      </c>
      <c r="C15" s="8" t="s">
        <v>20</v>
      </c>
      <c r="D15" s="8" t="s">
        <v>29</v>
      </c>
      <c r="E15" s="8" t="s">
        <v>46</v>
      </c>
      <c r="F15" s="7"/>
      <c r="G15" s="7" t="s">
        <v>15</v>
      </c>
      <c r="H15" s="7"/>
      <c r="I15" s="7"/>
      <c r="J15" s="8" t="s">
        <v>114</v>
      </c>
      <c r="K15" s="7" t="s">
        <v>133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 t="s">
        <v>159</v>
      </c>
      <c r="X15" s="7" t="s">
        <v>51</v>
      </c>
    </row>
    <row r="16" spans="1:26" ht="39.75" customHeight="1" x14ac:dyDescent="0.25">
      <c r="A16" s="6">
        <v>7</v>
      </c>
      <c r="B16" s="7" t="s">
        <v>147</v>
      </c>
      <c r="C16" s="8" t="s">
        <v>11</v>
      </c>
      <c r="D16" s="8" t="s">
        <v>29</v>
      </c>
      <c r="E16" s="8" t="s">
        <v>30</v>
      </c>
      <c r="F16" s="7">
        <v>300</v>
      </c>
      <c r="G16" s="7" t="s">
        <v>47</v>
      </c>
      <c r="H16" s="7" t="s">
        <v>16</v>
      </c>
      <c r="I16" s="7" t="s">
        <v>17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148</v>
      </c>
      <c r="U16" s="7"/>
      <c r="V16" s="8" t="s">
        <v>31</v>
      </c>
      <c r="W16" s="7" t="s">
        <v>154</v>
      </c>
      <c r="X16" s="7" t="s">
        <v>36</v>
      </c>
    </row>
    <row r="17" spans="1:24" ht="39.75" customHeight="1" x14ac:dyDescent="0.25">
      <c r="A17" s="6">
        <v>8</v>
      </c>
      <c r="B17" s="7" t="s">
        <v>135</v>
      </c>
      <c r="C17" s="8" t="s">
        <v>11</v>
      </c>
      <c r="D17" s="8" t="s">
        <v>21</v>
      </c>
      <c r="E17" s="8" t="s">
        <v>13</v>
      </c>
      <c r="F17" s="7">
        <v>150</v>
      </c>
      <c r="G17" s="7" t="s">
        <v>15</v>
      </c>
      <c r="H17" s="7" t="s">
        <v>41</v>
      </c>
      <c r="I17" s="7" t="s">
        <v>26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152</v>
      </c>
      <c r="U17" s="7" t="s">
        <v>153</v>
      </c>
      <c r="V17" s="8" t="s">
        <v>23</v>
      </c>
      <c r="W17" s="7" t="s">
        <v>155</v>
      </c>
      <c r="X17" s="7"/>
    </row>
    <row r="18" spans="1:24" ht="39.75" customHeight="1" x14ac:dyDescent="0.25">
      <c r="A18" s="6">
        <v>9</v>
      </c>
      <c r="B18" s="7" t="s">
        <v>138</v>
      </c>
      <c r="C18" s="8" t="s">
        <v>11</v>
      </c>
      <c r="D18" s="8" t="s">
        <v>29</v>
      </c>
      <c r="E18" s="8" t="s">
        <v>46</v>
      </c>
      <c r="F18" s="7">
        <v>10</v>
      </c>
      <c r="G18" s="7" t="s">
        <v>15</v>
      </c>
      <c r="H18" s="7" t="s">
        <v>48</v>
      </c>
      <c r="I18" s="7" t="s">
        <v>26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137</v>
      </c>
      <c r="U18" s="7" t="s">
        <v>136</v>
      </c>
      <c r="V18" s="8" t="s">
        <v>23</v>
      </c>
      <c r="W18" s="7" t="s">
        <v>142</v>
      </c>
      <c r="X18" s="7" t="s">
        <v>28</v>
      </c>
    </row>
    <row r="19" spans="1:24" ht="39.75" customHeight="1" x14ac:dyDescent="0.25">
      <c r="A19" s="6">
        <v>10</v>
      </c>
      <c r="B19" s="7" t="s">
        <v>158</v>
      </c>
      <c r="C19" s="8" t="s">
        <v>11</v>
      </c>
      <c r="D19" s="8" t="s">
        <v>21</v>
      </c>
      <c r="E19" s="8" t="s">
        <v>30</v>
      </c>
      <c r="F19" s="7">
        <v>25</v>
      </c>
      <c r="G19" s="7" t="s">
        <v>24</v>
      </c>
      <c r="H19" s="7" t="s">
        <v>48</v>
      </c>
      <c r="I19" s="7" t="s">
        <v>17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139</v>
      </c>
      <c r="U19" s="7"/>
      <c r="V19" s="8" t="s">
        <v>31</v>
      </c>
      <c r="W19" s="7" t="s">
        <v>157</v>
      </c>
      <c r="X19" s="7" t="s">
        <v>19</v>
      </c>
    </row>
    <row r="20" spans="1:24" ht="39.75" customHeight="1" x14ac:dyDescent="0.25">
      <c r="A20" s="6">
        <v>12</v>
      </c>
      <c r="B20" s="7" t="s">
        <v>141</v>
      </c>
      <c r="C20" s="8" t="s">
        <v>11</v>
      </c>
      <c r="D20" s="8" t="s">
        <v>38</v>
      </c>
      <c r="E20" s="8" t="s">
        <v>13</v>
      </c>
      <c r="F20" s="7">
        <v>15</v>
      </c>
      <c r="G20" s="7" t="s">
        <v>24</v>
      </c>
      <c r="H20" s="7" t="s">
        <v>25</v>
      </c>
      <c r="I20" s="7" t="s">
        <v>17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 t="s">
        <v>149</v>
      </c>
      <c r="V20" s="8" t="s">
        <v>14</v>
      </c>
      <c r="W20" s="7" t="s">
        <v>35</v>
      </c>
      <c r="X20" s="7" t="s">
        <v>19</v>
      </c>
    </row>
    <row r="21" spans="1:24" ht="39.75" customHeight="1" x14ac:dyDescent="0.25">
      <c r="A21" s="6">
        <v>13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14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15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15.75" customHeight="1" x14ac:dyDescent="0.25"/>
    <row r="25" spans="1:24" ht="15.75" customHeight="1" x14ac:dyDescent="0.25">
      <c r="A25" s="9" t="s">
        <v>103</v>
      </c>
    </row>
    <row r="26" spans="1:24" ht="15.75" customHeight="1" x14ac:dyDescent="0.25">
      <c r="A26" s="10" t="s">
        <v>104</v>
      </c>
      <c r="B26" s="30" t="e">
        <f ca="1">Выпадающий список(ТОЛЬКО из списка)</f>
        <v>#NAME?</v>
      </c>
      <c r="C26" s="31"/>
      <c r="D26" s="31"/>
      <c r="E26" s="31"/>
    </row>
    <row r="27" spans="1:24" ht="15.75" customHeight="1" x14ac:dyDescent="0.25">
      <c r="A27" s="11" t="s">
        <v>105</v>
      </c>
      <c r="B27" s="30" t="e">
        <f>Можно выбрать из списка ИЛИ написать своё</f>
        <v>#NAME?</v>
      </c>
      <c r="C27" s="31"/>
      <c r="D27" s="31"/>
      <c r="E27" s="31"/>
    </row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8">
    <mergeCell ref="B26:E26"/>
    <mergeCell ref="B27:E27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Справочники!$A$2:$A$13</xm:f>
          </x14:formula1>
          <xm:sqref>C4</xm:sqref>
        </x14:dataValidation>
        <x14:dataValidation type="list" allowBlank="1" xr:uid="{00000000-0002-0000-0100-000001000000}">
          <x14:formula1>
            <xm:f>Справочники!$B$2:$B$44</xm:f>
          </x14:formula1>
          <xm:sqref>C5 R11:R23 P11:P23 N11:N23 J11:J23 L11:L23</xm:sqref>
        </x14:dataValidation>
        <x14:dataValidation type="list" allowBlank="1" xr:uid="{00000000-0002-0000-0100-000002000000}">
          <x14:formula1>
            <xm:f>Справочники!$E$2:$E$6</xm:f>
          </x14:formula1>
          <xm:sqref>E11:E23</xm:sqref>
        </x14:dataValidation>
        <x14:dataValidation type="list" allowBlank="1" xr:uid="{00000000-0002-0000-0100-000003000000}">
          <x14:formula1>
            <xm:f>Справочники!$G$2:$G$6</xm:f>
          </x14:formula1>
          <xm:sqref>G11:G23</xm:sqref>
        </x14:dataValidation>
        <x14:dataValidation type="list" allowBlank="1" xr:uid="{00000000-0002-0000-0100-000004000000}">
          <x14:formula1>
            <xm:f>Справочники!$F$2:$F$4</xm:f>
          </x14:formula1>
          <xm:sqref>V11:V23</xm:sqref>
        </x14:dataValidation>
        <x14:dataValidation type="list" allowBlank="1" xr:uid="{00000000-0002-0000-0100-000005000000}">
          <x14:formula1>
            <xm:f>Справочники!$I$2:$I$7</xm:f>
          </x14:formula1>
          <xm:sqref>I11:I23</xm:sqref>
        </x14:dataValidation>
        <x14:dataValidation type="list" allowBlank="1" xr:uid="{00000000-0002-0000-0100-000006000000}">
          <x14:formula1>
            <xm:f>Справочники!$D$2:$D$5</xm:f>
          </x14:formula1>
          <xm:sqref>D11:D23</xm:sqref>
        </x14:dataValidation>
        <x14:dataValidation type="list" allowBlank="1" xr:uid="{00000000-0002-0000-0100-000007000000}">
          <x14:formula1>
            <xm:f>Справочники!$C$2:$C$3</xm:f>
          </x14:formula1>
          <xm:sqref>C11:C23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H11:H23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W11:W23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2026-01-26T07:37:24Z</dcterms:modified>
</cp:coreProperties>
</file>